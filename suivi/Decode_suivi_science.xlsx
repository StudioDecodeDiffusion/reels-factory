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 par jour" sheetId="1" state="visible" r:id="rId1"/>
    <sheet name="Vidéos" sheetId="2" state="visible" r:id="rId2"/>
    <sheet name="Évolution par vidéo" sheetId="3" state="visible" r:id="rId3"/>
    <sheet name="Vues du jour par vidéo" sheetId="4" state="visible" r:id="rId4"/>
    <sheet name="Stories" sheetId="5" state="visible" r:id="rId5"/>
    <sheet name="À li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jour'!B1</f>
            </strRef>
          </tx>
          <spPr>
            <a:ln w="28000">
              <a:solidFill>
                <a:srgbClr val="E5133A"/>
              </a:solidFill>
              <a:prstDash val="solid"/>
            </a:ln>
          </spPr>
          <marker>
            <symbol val="circle"/>
            <size val="7"/>
            <spPr>
              <a:solidFill>
                <a:srgbClr val="E5133A"/>
              </a:solidFill>
              <a:ln>
                <a:prstDash val="solid"/>
              </a:ln>
            </spPr>
          </marker>
          <cat>
            <numRef>
              <f>'Jour par jour'!$A$2</f>
            </numRef>
          </cat>
          <val>
            <numRef>
              <f>'Jour par jour'!$B$2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abonnés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Vues par jour : vidéos et stories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jour'!E1</f>
            </strRef>
          </tx>
          <spPr>
            <a:solidFill>
              <a:srgbClr val="3D5AFE"/>
            </a:solidFill>
            <a:ln>
              <a:prstDash val="solid"/>
            </a:ln>
          </spPr>
          <cat>
            <numRef>
              <f>'Jour par jour'!$A$2</f>
            </numRef>
          </cat>
          <val>
            <numRef>
              <f>'Jour par jour'!$E$2</f>
            </numRef>
          </val>
        </ser>
        <ser>
          <idx val="1"/>
          <order val="1"/>
          <tx>
            <strRef>
              <f>'Jour par jour'!L1</f>
            </strRef>
          </tx>
          <spPr>
            <a:solidFill>
              <a:srgbClr val="FF8A1F"/>
            </a:solidFill>
            <a:ln>
              <a:prstDash val="solid"/>
            </a:ln>
          </spPr>
          <cat>
            <numRef>
              <f>'Jour par jour'!$A$2</f>
            </numRef>
          </cat>
          <val>
            <numRef>
              <f>'Jour par jour'!$L$2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Portée du compte et visites du profil</a:t>
            </a:r>
          </a:p>
        </rich>
      </tx>
    </title>
    <plotArea>
      <lineChart>
        <grouping val="standard"/>
        <ser>
          <idx val="0"/>
          <order val="0"/>
          <tx>
            <strRef>
              <f>'Jour par jour'!F1</f>
            </strRef>
          </tx>
          <spPr>
            <a:ln w="28000">
              <a:solidFill>
                <a:srgbClr val="8E5CFF"/>
              </a:solidFill>
              <a:prstDash val="solid"/>
            </a:ln>
          </spPr>
          <marker>
            <symbol val="circle"/>
            <size val="7"/>
            <spPr>
              <a:solidFill>
                <a:srgbClr val="8E5CFF"/>
              </a:solidFill>
              <a:ln>
                <a:prstDash val="solid"/>
              </a:ln>
            </spPr>
          </marker>
          <cat>
            <numRef>
              <f>'Jour par jour'!$A$2</f>
            </numRef>
          </cat>
          <val>
            <numRef>
              <f>'Jour par jour'!$F$2</f>
            </numRef>
          </val>
          <smooth val="0"/>
        </ser>
        <ser>
          <idx val="1"/>
          <order val="1"/>
          <tx>
            <strRef>
              <f>'Jour par jour'!H1</f>
            </strRef>
          </tx>
          <spPr>
            <a:ln w="28000">
              <a:solidFill>
                <a:srgbClr val="00B8D4"/>
              </a:solidFill>
              <a:prstDash val="solid"/>
            </a:ln>
          </spPr>
          <marker>
            <symbol val="circle"/>
            <size val="7"/>
            <spPr>
              <a:solidFill>
                <a:srgbClr val="00B8D4"/>
              </a:solidFill>
              <a:ln>
                <a:prstDash val="solid"/>
              </a:ln>
            </spPr>
          </marker>
          <cat>
            <numRef>
              <f>'Jour par jour'!$A$2</f>
            </numRef>
          </cat>
          <val>
            <numRef>
              <f>'Jour par jour'!$H$2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Abonnés gagnés par jour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'Jour par jour'!C1</f>
            </strRef>
          </tx>
          <spPr>
            <a:solidFill>
              <a:srgbClr val="2E7D32"/>
            </a:solidFill>
            <a:ln>
              <a:prstDash val="solid"/>
            </a:ln>
          </spPr>
          <cat>
            <numRef>
              <f>'Jour par jour'!$A$2</f>
            </numRef>
          </cat>
          <val>
            <numRef>
              <f>'Jour par jour'!$C$2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17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33</row>
      <rowOff>0</rowOff>
    </from>
    <ext cx="57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49</row>
      <rowOff>0</rowOff>
    </from>
    <ext cx="576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10" customWidth="1" min="11" max="11"/>
    <col width="12" customWidth="1" min="12" max="12"/>
    <col width="10" customWidth="1" min="13" max="13"/>
  </cols>
  <sheetData>
    <row r="1" ht="32" customHeight="1">
      <c r="A1" s="1" t="inlineStr">
        <is>
          <t>Jour</t>
        </is>
      </c>
      <c r="B1" s="1" t="inlineStr">
        <is>
          <t>Abonnés</t>
        </is>
      </c>
      <c r="C1" s="1" t="inlineStr">
        <is>
          <t>Abonnés gagnés</t>
        </is>
      </c>
      <c r="D1" s="1" t="inlineStr">
        <is>
          <t>Vues cumulées des vidéos</t>
        </is>
      </c>
      <c r="E1" s="1" t="inlineStr">
        <is>
          <t>Vues du jour (vidéos)</t>
        </is>
      </c>
      <c r="F1" s="1" t="inlineStr">
        <is>
          <t>Portée du compte</t>
        </is>
      </c>
      <c r="G1" s="1" t="inlineStr">
        <is>
          <t>Vues du compte</t>
        </is>
      </c>
      <c r="H1" s="1" t="inlineStr">
        <is>
          <t>Visites du profil</t>
        </is>
      </c>
      <c r="I1" s="1" t="inlineStr">
        <is>
          <t>Comptes engagés</t>
        </is>
      </c>
      <c r="J1" s="1" t="inlineStr">
        <is>
          <t>Interactions</t>
        </is>
      </c>
      <c r="K1" s="1" t="inlineStr">
        <is>
          <t>Clics lien bio</t>
        </is>
      </c>
      <c r="L1" s="1" t="inlineStr">
        <is>
          <t>Vues des stories du jour</t>
        </is>
      </c>
      <c r="M1" s="1" t="inlineStr">
        <is>
          <t>Vidéos publiées</t>
        </is>
      </c>
    </row>
    <row r="2">
      <c r="A2" s="2" t="inlineStr">
        <is>
          <t>2026-10-25</t>
        </is>
      </c>
      <c r="B2" s="3" t="n">
        <v>0</v>
      </c>
      <c r="C2" s="3">
        <f>IF(ROW()=2,"",B2-B1)</f>
        <v/>
      </c>
      <c r="D2" s="3" t="n">
        <v>0</v>
      </c>
      <c r="E2" s="3">
        <f>IF(ROW()=2,D2,D2-D1)</f>
        <v/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9" customWidth="1" min="4" max="4"/>
    <col width="11" customWidth="1" min="5" max="5"/>
    <col width="8" customWidth="1" min="6" max="6"/>
    <col width="12" customWidth="1" min="7" max="7"/>
    <col width="9" customWidth="1" min="8" max="8"/>
    <col width="13" customWidth="1" min="9" max="9"/>
    <col width="11" customWidth="1" min="10" max="10"/>
    <col width="12" customWidth="1" min="11" max="11"/>
    <col width="12" customWidth="1" min="12" max="12"/>
  </cols>
  <sheetData>
    <row r="1" ht="32" customHeight="1">
      <c r="A1" s="1" t="inlineStr">
        <is>
          <t>Publiée le</t>
        </is>
      </c>
      <c r="B1" s="1" t="inlineStr">
        <is>
          <t>Titre</t>
        </is>
      </c>
      <c r="C1" s="1" t="inlineStr">
        <is>
          <t>Lien</t>
        </is>
      </c>
      <c r="D1" s="1" t="inlineStr">
        <is>
          <t>Vues</t>
        </is>
      </c>
      <c r="E1" s="1" t="inlineStr">
        <is>
          <t>Comptes touchés</t>
        </is>
      </c>
      <c r="F1" s="1" t="inlineStr">
        <is>
          <t>Likes</t>
        </is>
      </c>
      <c r="G1" s="1" t="inlineStr">
        <is>
          <t>Commentaires</t>
        </is>
      </c>
      <c r="H1" s="1" t="inlineStr">
        <is>
          <t>Partages</t>
        </is>
      </c>
      <c r="I1" s="1" t="inlineStr">
        <is>
          <t>Enregistrements</t>
        </is>
      </c>
      <c r="J1" s="1" t="inlineStr">
        <is>
          <t>Interactions</t>
        </is>
      </c>
      <c r="K1" s="1" t="inlineStr">
        <is>
          <t>Taux d'engagement</t>
        </is>
      </c>
      <c r="L1" s="1" t="inlineStr">
        <is>
          <t>Vues / comptes touchés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2" customHeight="1">
      <c r="A1" s="1" t="inlineStr">
        <is>
          <t>Jour</t>
        </is>
      </c>
    </row>
    <row r="2">
      <c r="A2" s="2" t="inlineStr">
        <is>
          <t>2026-10-25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" t="inlineStr">
        <is>
          <t>Jour</t>
        </is>
      </c>
      <c r="B1" s="1" t="inlineStr">
        <is>
          <t>Total du jour</t>
        </is>
      </c>
    </row>
    <row r="2">
      <c r="A2" s="2" t="inlineStr">
        <is>
          <t>2026-10-25</t>
        </is>
      </c>
      <c r="B2" s="3">
        <f>SUM(B2:A2)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9" customWidth="1" min="4" max="4"/>
    <col width="9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 ht="32" customHeight="1">
      <c r="A1" s="1" t="inlineStr">
        <is>
          <t>Publiée le</t>
        </is>
      </c>
      <c r="B1" s="1" t="inlineStr">
        <is>
          <t>Vues</t>
        </is>
      </c>
      <c r="C1" s="1" t="inlineStr">
        <is>
          <t>Comptes touchés</t>
        </is>
      </c>
      <c r="D1" s="1" t="inlineStr">
        <is>
          <t>Réponses</t>
        </is>
      </c>
      <c r="E1" s="1" t="inlineStr">
        <is>
          <t>Partages</t>
        </is>
      </c>
      <c r="F1" s="1" t="inlineStr">
        <is>
          <t>Abonnements</t>
        </is>
      </c>
      <c r="G1" s="1" t="inlineStr">
        <is>
          <t>Visites du profil</t>
        </is>
      </c>
      <c r="H1" s="1" t="inlineStr">
        <is>
          <t>Interactions</t>
        </is>
      </c>
      <c r="I1" s="1" t="inlineStr">
        <is>
          <t>Lien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Décodé · suivi du compte Décodé - la science simplement</t>
        </is>
      </c>
    </row>
    <row r="2">
      <c r="A2" s="5" t="inlineStr">
        <is>
          <t>Mis à jour automatiquement par l'agent 3 à chaque relevé (9 h et 16 h, heure de Paris).</t>
        </is>
      </c>
    </row>
    <row r="3">
      <c r="A3" s="5" t="inlineStr">
        <is>
          <t>Source : API Instagram (insights). Les vues et partages sont cumulés depuis la publication.</t>
        </is>
      </c>
    </row>
    <row r="4">
      <c r="A4" s="5" t="inlineStr">
        <is>
          <t>« Abonnés gagnés » et « Vues du jour » = différence avec le relevé de la veille (formules).</t>
        </is>
      </c>
    </row>
    <row r="5">
      <c r="A5" s="5" t="inlineStr">
        <is>
          <t>« Vues du jour par vidéo » = vues gagnées par chaque vidéo depuis le relevé de la veille.</t>
        </is>
      </c>
    </row>
    <row r="6">
      <c r="A6" s="5" t="inlineStr">
        <is>
          <t>« Heure par heure » : relevé toutes les heures de 7 h à 23 h (Paris) ; le relevé de 7 h inclut la nuit.</t>
        </is>
      </c>
    </row>
    <row r="7">
      <c r="A7" s="5" t="inlineStr">
        <is>
          <t>Taux d'engagement = (likes + commentaires + partages + enregistrements) / comptes touchés.</t>
        </is>
      </c>
    </row>
    <row r="8">
      <c r="A8" s="5" t="inlineStr">
        <is>
          <t>Les statistiques d'une story ne sont lisibles que pendant ses 24 h : dernier relevé conservé.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2026-10-25T09:55:45Z</dcterms:created>
  <dcterms:modified xsi:type="dcterms:W3CDTF">2026-10-25T09:55:45Z</dcterms:modified>
</cp:coreProperties>
</file>