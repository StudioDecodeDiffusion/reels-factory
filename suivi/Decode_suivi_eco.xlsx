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 par jour" sheetId="1" state="visible" r:id="rId1"/>
    <sheet name="Vidéos" sheetId="2" state="visible" r:id="rId2"/>
    <sheet name="Évolution par vidéo" sheetId="3" state="visible" r:id="rId3"/>
    <sheet name="Vues du jour par vidéo" sheetId="4" state="visible" r:id="rId4"/>
    <sheet name="Heure par heure" sheetId="5" state="visible" r:id="rId5"/>
    <sheet name="Vues gagnées par heure" sheetId="6" state="visible" r:id="rId6"/>
    <sheet name="Stories" sheetId="7" state="visible" r:id="rId7"/>
    <sheet name="À l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jour'!B1</f>
            </strRef>
          </tx>
          <spPr>
            <a:ln w="28000">
              <a:solidFill>
                <a:srgbClr val="E5133A"/>
              </a:solidFill>
              <a:prstDash val="solid"/>
            </a:ln>
          </spPr>
          <marker>
            <symbol val="circle"/>
            <size val="7"/>
            <spPr>
              <a:solidFill>
                <a:srgbClr val="E5133A"/>
              </a:solidFill>
              <a:ln>
                <a:prstDash val="solid"/>
              </a:ln>
            </spPr>
          </marker>
          <cat>
            <numRef>
              <f>'Jour par jour'!$A$2:$A$5</f>
            </numRef>
          </cat>
          <val>
            <numRef>
              <f>'Jour par jour'!$B$2:$B$5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abonnés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jour : vidéos et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jour'!E1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'Jour par jour'!$A$2:$A$5</f>
            </numRef>
          </cat>
          <val>
            <numRef>
              <f>'Jour par jour'!$E$2:$E$5</f>
            </numRef>
          </val>
        </ser>
        <ser>
          <idx val="1"/>
          <order val="1"/>
          <tx>
            <strRef>
              <f>'Jour par jour'!L1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'Jour par jour'!$A$2:$A$5</f>
            </numRef>
          </cat>
          <val>
            <numRef>
              <f>'Jour par jour'!$L$2:$L$5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Portée du compte et visites du profil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jour'!F1</f>
            </strRef>
          </tx>
          <spPr>
            <a:ln w="28000">
              <a:solidFill>
                <a:srgbClr val="8E5CFF"/>
              </a:solidFill>
              <a:prstDash val="solid"/>
            </a:ln>
          </spPr>
          <marker>
            <symbol val="circle"/>
            <size val="7"/>
            <spPr>
              <a:solidFill>
                <a:srgbClr val="8E5CFF"/>
              </a:solidFill>
              <a:ln>
                <a:prstDash val="solid"/>
              </a:ln>
            </spPr>
          </marker>
          <cat>
            <numRef>
              <f>'Jour par jour'!$A$2:$A$5</f>
            </numRef>
          </cat>
          <val>
            <numRef>
              <f>'Jour par jour'!$F$2:$F$5</f>
            </numRef>
          </val>
          <smooth val="0"/>
        </ser>
        <ser>
          <idx val="1"/>
          <order val="1"/>
          <tx>
            <strRef>
              <f>'Jour par jour'!H1</f>
            </strRef>
          </tx>
          <spPr>
            <a:ln w="28000">
              <a:solidFill>
                <a:srgbClr val="00B8D4"/>
              </a:solidFill>
              <a:prstDash val="solid"/>
            </a:ln>
          </spPr>
          <marker>
            <symbol val="circle"/>
            <size val="7"/>
            <spPr>
              <a:solidFill>
                <a:srgbClr val="00B8D4"/>
              </a:solidFill>
              <a:ln>
                <a:prstDash val="solid"/>
              </a:ln>
            </spPr>
          </marker>
          <cat>
            <numRef>
              <f>'Jour par jour'!$A$2:$A$5</f>
            </numRef>
          </cat>
          <val>
            <numRef>
              <f>'Jour par jour'!$H$2:$H$5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 gagnés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jour'!C1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'Jour par jour'!$A$2:$A$5</f>
            </numRef>
          </cat>
          <val>
            <numRef>
              <f>'Jour par jour'!$C$2:$C$5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vidéo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'Vidéos'!D1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Likes, commentaires, partages, enregistrements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'Vidéos'!F1</f>
            </strRef>
          </tx>
          <spPr>
            <a:solidFill>
              <a:srgbClr val="FF4F81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'Vidéos'!$F$2:$F$4</f>
            </numRef>
          </val>
        </ser>
        <ser>
          <idx val="1"/>
          <order val="1"/>
          <tx>
            <strRef>
              <f>'Vidéos'!G1</f>
            </strRef>
          </tx>
          <spPr>
            <a:solidFill>
              <a:srgbClr val="8E5CFF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'Vidéos'!$G$2:$G$4</f>
            </numRef>
          </val>
        </ser>
        <ser>
          <idx val="2"/>
          <order val="2"/>
          <tx>
            <strRef>
              <f>'Vidéos'!H1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'Vidéos'!$H$2:$H$4</f>
            </numRef>
          </val>
        </ser>
        <ser>
          <idx val="3"/>
          <order val="3"/>
          <tx>
            <strRef>
              <f>'Vidéos'!I1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Taux d'engagement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'Vidéos'!K1</f>
            </strRef>
          </tx>
          <spPr>
            <a:solidFill>
              <a:srgbClr val="E5133A"/>
            </a:solidFill>
            <a:ln>
              <a:prstDash val="solid"/>
            </a:ln>
          </spPr>
          <cat>
            <numRef>
              <f>'Vidéos'!$B$2:$B$4</f>
            </numRef>
          </cat>
          <val>
            <numRef>
              <f>'Vidéos'!$K$2:$K$4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cumulées de chaque vidéo, jour après jour</a:t>
            </a:r>
          </a:p>
        </rich>
      </tx>
    </title>
    <plotArea>
      <lineChart>
        <grouping val="standard"/>
        <ser>
          <idx val="0"/>
          <order val="0"/>
          <tx>
            <strRef>
              <f>'Évolution par vidéo'!B1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vidéo'!$A$2:$A$5</f>
            </numRef>
          </cat>
          <val>
            <numRef>
              <f>'Évolution par vidéo'!$B$2:$B$5</f>
            </numRef>
          </val>
        </ser>
        <ser>
          <idx val="1"/>
          <order val="1"/>
          <tx>
            <strRef>
              <f>'Évolution par vidéo'!C1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vidéo'!$A$2:$A$5</f>
            </numRef>
          </cat>
          <val>
            <numRef>
              <f>'Évolution par vidéo'!$C$2:$C$5</f>
            </numRef>
          </val>
        </ser>
        <ser>
          <idx val="2"/>
          <order val="2"/>
          <tx>
            <strRef>
              <f>'Évolution par vidéo'!D1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'Évolution par vidéo'!$A$2:$A$5</f>
            </numRef>
          </cat>
          <val>
            <numRef>
              <f>'Évolution par vidéo'!$D$2:$D$5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gagnées chaque jour, vidéo par vidéo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'Vues du jour par vidéo'!B1</f>
            </strRef>
          </tx>
          <spPr>
            <a:ln>
              <a:prstDash val="solid"/>
            </a:ln>
          </spPr>
          <cat>
            <numRef>
              <f>'Vues du jour par vidéo'!$A$2:$A$5</f>
            </numRef>
          </cat>
          <val>
            <numRef>
              <f>'Vues du jour par vidéo'!$B$2:$B$5</f>
            </numRef>
          </val>
        </ser>
        <ser>
          <idx val="1"/>
          <order val="1"/>
          <tx>
            <strRef>
              <f>'Vues du jour par vidéo'!C1</f>
            </strRef>
          </tx>
          <spPr>
            <a:ln>
              <a:prstDash val="solid"/>
            </a:ln>
          </spPr>
          <cat>
            <numRef>
              <f>'Vues du jour par vidéo'!$A$2:$A$5</f>
            </numRef>
          </cat>
          <val>
            <numRef>
              <f>'Vues du jour par vidéo'!$C$2:$C$5</f>
            </numRef>
          </val>
        </ser>
        <ser>
          <idx val="2"/>
          <order val="2"/>
          <tx>
            <strRef>
              <f>'Vues du jour par vidéo'!D1</f>
            </strRef>
          </tx>
          <spPr>
            <a:ln>
              <a:prstDash val="solid"/>
            </a:ln>
          </spPr>
          <cat>
            <numRef>
              <f>'Vues du jour par vidéo'!$A$2:$A$5</f>
            </numRef>
          </cat>
          <val>
            <numRef>
              <f>'Vues du jour par vidéo'!$D$2:$D$5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cumulées de chaque vidéo, heure par heure</a:t>
            </a:r>
          </a:p>
        </rich>
      </tx>
    </title>
    <plotArea>
      <lineChart>
        <grouping val="standard"/>
        <ser>
          <idx val="0"/>
          <order val="0"/>
          <tx>
            <strRef>
              <f>'Heure par heure'!C1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'Heure par heure'!$A$2:$A$47</f>
            </numRef>
          </cat>
          <val>
            <numRef>
              <f>'Heure par heure'!$C$2:$C$47</f>
            </numRef>
          </val>
        </ser>
        <ser>
          <idx val="1"/>
          <order val="1"/>
          <tx>
            <strRef>
              <f>'Heure par heure'!D1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'Heure par heure'!$A$2:$A$47</f>
            </numRef>
          </cat>
          <val>
            <numRef>
              <f>'Heure par heure'!$D$2:$D$47</f>
            </numRef>
          </val>
        </ser>
        <ser>
          <idx val="2"/>
          <order val="2"/>
          <tx>
            <strRef>
              <f>'Heure par heure'!E1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'Heure par heure'!$A$2:$A$47</f>
            </numRef>
          </cat>
          <val>
            <numRef>
              <f>'Heure par heure'!$E$2:$E$47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Abonnés, heure par heure</a:t>
            </a:r>
          </a:p>
        </rich>
      </tx>
    </title>
    <plotArea>
      <lineChart>
        <grouping val="standard"/>
        <ser>
          <idx val="0"/>
          <order val="0"/>
          <tx>
            <strRef>
              <f>'Heure par heure'!B1</f>
            </strRef>
          </tx>
          <spPr>
            <a:ln w="28000">
              <a:solidFill>
                <a:srgbClr val="E5133A"/>
              </a:solidFill>
              <a:prstDash val="solid"/>
            </a:ln>
          </spPr>
          <marker>
            <symbol val="circle"/>
            <size val="7"/>
            <spPr>
              <a:solidFill>
                <a:srgbClr val="E5133A"/>
              </a:solidFill>
              <a:ln>
                <a:prstDash val="solid"/>
              </a:ln>
            </spPr>
          </marker>
          <cat>
            <numRef>
              <f>'Heure par heure'!$A$2:$A$47</f>
            </numRef>
          </cat>
          <val>
            <numRef>
              <f>'Heure par heure'!$B$2:$B$47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totales du compte (vidéos), heure par heure</a:t>
            </a:r>
          </a:p>
        </rich>
      </tx>
    </title>
    <plotArea>
      <lineChart>
        <grouping val="standard"/>
        <ser>
          <idx val="0"/>
          <order val="0"/>
          <tx>
            <strRef>
              <f>'Heure par heure'!F1</f>
            </strRef>
          </tx>
          <spPr>
            <a:ln w="28000">
              <a:solidFill>
                <a:srgbClr val="3D5AFE"/>
              </a:solidFill>
              <a:prstDash val="solid"/>
            </a:ln>
          </spPr>
          <marker>
            <symbol val="circle"/>
            <size val="7"/>
            <spPr>
              <a:solidFill>
                <a:srgbClr val="3D5AFE"/>
              </a:solidFill>
              <a:ln>
                <a:prstDash val="solid"/>
              </a:ln>
            </spPr>
          </marker>
          <cat>
            <numRef>
              <f>'Heure par heure'!$A$2:$A$47</f>
            </numRef>
          </cat>
          <val>
            <numRef>
              <f>'Heure par heure'!$F$2:$F$47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gagnées chaque heure, vidéo par vidéo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'Vues gagnées par heure'!B1</f>
            </strRef>
          </tx>
          <spPr>
            <a:ln>
              <a:prstDash val="solid"/>
            </a:ln>
          </spPr>
          <cat>
            <numRef>
              <f>'Vues gagnées par heure'!$A$2:$A$47</f>
            </numRef>
          </cat>
          <val>
            <numRef>
              <f>'Vues gagnées par heure'!$B$2:$B$47</f>
            </numRef>
          </val>
        </ser>
        <ser>
          <idx val="1"/>
          <order val="1"/>
          <tx>
            <strRef>
              <f>'Vues gagnées par heure'!C1</f>
            </strRef>
          </tx>
          <spPr>
            <a:ln>
              <a:prstDash val="solid"/>
            </a:ln>
          </spPr>
          <cat>
            <numRef>
              <f>'Vues gagnées par heure'!$A$2:$A$47</f>
            </numRef>
          </cat>
          <val>
            <numRef>
              <f>'Vues gagnées par heure'!$C$2:$C$47</f>
            </numRef>
          </val>
        </ser>
        <ser>
          <idx val="2"/>
          <order val="2"/>
          <tx>
            <strRef>
              <f>'Vues gagnées par heure'!D1</f>
            </strRef>
          </tx>
          <spPr>
            <a:ln>
              <a:prstDash val="solid"/>
            </a:ln>
          </spPr>
          <cat>
            <numRef>
              <f>'Vues gagnées par heure'!$A$2:$A$47</f>
            </numRef>
          </cat>
          <val>
            <numRef>
              <f>'Vues gagnées par heure'!$D$2:$D$47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des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'Stories'!B1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'Stories'!$A$2:$A$4</f>
            </numRef>
          </cat>
          <val>
            <numRef>
              <f>'Stories'!$B$2:$B$4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49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6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66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66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reel/De65sYkjO9n/" TargetMode="External" Id="rId1" /><Relationship Type="http://schemas.openxmlformats.org/officeDocument/2006/relationships/hyperlink" Target="https://www.instagram.com/reel/De_SaiPAaxn/" TargetMode="External" Id="rId2" /><Relationship Type="http://schemas.openxmlformats.org/officeDocument/2006/relationships/hyperlink" Target="https://www.instagram.com/reel/De_SmGHICU2/" TargetMode="External" Id="rId3" /><Relationship Type="http://schemas.openxmlformats.org/officeDocument/2006/relationships/drawing" Target="/xl/drawings/drawing2.xml" Id="rId4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stories/decode.eco/4017010964160053037" TargetMode="External" Id="rId1" /><Relationship Type="http://schemas.openxmlformats.org/officeDocument/2006/relationships/hyperlink" Target="https://www.instagram.com/stories/decode.eco/4017011664742975611" TargetMode="External" Id="rId2" /><Relationship Type="http://schemas.openxmlformats.org/officeDocument/2006/relationships/hyperlink" Target="https://www.instagram.com/stories/decode.eco/4017013160565732420" TargetMode="External" Id="rId3" /><Relationship Type="http://schemas.openxmlformats.org/officeDocument/2006/relationships/drawing" Target="/xl/drawings/drawing7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32" customHeight="1">
      <c r="A1" s="1" t="inlineStr">
        <is>
          <t>Jour</t>
        </is>
      </c>
      <c r="B1" s="1" t="inlineStr">
        <is>
          <t>Abonnés</t>
        </is>
      </c>
      <c r="C1" s="1" t="inlineStr">
        <is>
          <t>Abonnés gagnés</t>
        </is>
      </c>
      <c r="D1" s="1" t="inlineStr">
        <is>
          <t>Vues cumulées des vidéos</t>
        </is>
      </c>
      <c r="E1" s="1" t="inlineStr">
        <is>
          <t>Vues du jour (vidéos)</t>
        </is>
      </c>
      <c r="F1" s="1" t="inlineStr">
        <is>
          <t>Portée du compte</t>
        </is>
      </c>
      <c r="G1" s="1" t="inlineStr">
        <is>
          <t>Vues du compte</t>
        </is>
      </c>
      <c r="H1" s="1" t="inlineStr">
        <is>
          <t>Visites du profil</t>
        </is>
      </c>
      <c r="I1" s="1" t="inlineStr">
        <is>
          <t>Comptes engagés</t>
        </is>
      </c>
      <c r="J1" s="1" t="inlineStr">
        <is>
          <t>Interactions</t>
        </is>
      </c>
      <c r="K1" s="1" t="inlineStr">
        <is>
          <t>Clics lien bio</t>
        </is>
      </c>
      <c r="L1" s="1" t="inlineStr">
        <is>
          <t>Vues des stories du jour</t>
        </is>
      </c>
      <c r="M1" s="1" t="inlineStr">
        <is>
          <t>Vidéos publiées</t>
        </is>
      </c>
    </row>
    <row r="2">
      <c r="A2" s="2" t="inlineStr">
        <is>
          <t>2026-10-25</t>
        </is>
      </c>
      <c r="B2" s="3" t="n">
        <v>0</v>
      </c>
      <c r="C2" s="3">
        <f>IF(ROW()=2,"",B2-B1)</f>
        <v/>
      </c>
      <c r="D2" s="3" t="n">
        <v>0</v>
      </c>
      <c r="E2" s="3">
        <f>IF(ROW()=2,D2,D2-D1)</f>
        <v/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</row>
    <row r="3">
      <c r="A3" s="2" t="inlineStr">
        <is>
          <t>2026-10-26</t>
        </is>
      </c>
      <c r="B3" s="3" t="n">
        <v>0</v>
      </c>
      <c r="C3" s="3">
        <f>IF(ROW()=2,"",B3-B2)</f>
        <v/>
      </c>
      <c r="D3" s="3" t="n">
        <v>131</v>
      </c>
      <c r="E3" s="3">
        <f>IF(ROW()=2,D3,D3-D2)</f>
        <v/>
      </c>
      <c r="F3" s="3" t="n">
        <v>121</v>
      </c>
      <c r="G3" s="3" t="n">
        <v>131</v>
      </c>
      <c r="H3" s="3" t="n">
        <v>0</v>
      </c>
      <c r="I3" s="3" t="n">
        <v>1</v>
      </c>
      <c r="J3" s="3" t="n">
        <v>1</v>
      </c>
      <c r="K3" s="3" t="n">
        <v>0</v>
      </c>
      <c r="L3" s="3" t="n">
        <v>0</v>
      </c>
      <c r="M3" s="3" t="n">
        <v>0</v>
      </c>
    </row>
    <row r="4">
      <c r="A4" s="2" t="inlineStr">
        <is>
          <t>2026-10-27</t>
        </is>
      </c>
      <c r="B4" s="3" t="n">
        <v>0</v>
      </c>
      <c r="C4" s="3">
        <f>IF(ROW()=2,"",B4-B3)</f>
        <v/>
      </c>
      <c r="D4" s="3" t="n">
        <v>401</v>
      </c>
      <c r="E4" s="3">
        <f>IF(ROW()=2,D4,D4-D3)</f>
        <v/>
      </c>
      <c r="F4" s="3" t="n">
        <v>249</v>
      </c>
      <c r="G4" s="3" t="n">
        <v>268</v>
      </c>
      <c r="H4" s="3" t="n">
        <v>0</v>
      </c>
      <c r="I4" s="3" t="n">
        <v>2</v>
      </c>
      <c r="J4" s="3" t="n">
        <v>5</v>
      </c>
      <c r="K4" s="3" t="n">
        <v>0</v>
      </c>
      <c r="L4" s="3" t="n">
        <v>0</v>
      </c>
      <c r="M4" s="3" t="n">
        <v>2</v>
      </c>
    </row>
    <row r="5">
      <c r="A5" s="2" t="inlineStr">
        <is>
          <t>2026-10-28</t>
        </is>
      </c>
      <c r="B5" s="3" t="n">
        <v>0</v>
      </c>
      <c r="C5" s="3">
        <f>IF(ROW()=2,"",B5-B4)</f>
        <v/>
      </c>
      <c r="D5" s="3" t="n">
        <v>428</v>
      </c>
      <c r="E5" s="3">
        <f>IF(ROW()=2,D5,D5-D4)</f>
        <v/>
      </c>
      <c r="F5" s="3" t="n">
        <v>276</v>
      </c>
      <c r="G5" s="3" t="n">
        <v>295</v>
      </c>
      <c r="H5" s="3" t="n">
        <v>0</v>
      </c>
      <c r="I5" s="3" t="n">
        <v>2</v>
      </c>
      <c r="J5" s="3" t="n">
        <v>5</v>
      </c>
      <c r="K5" s="3" t="n">
        <v>0</v>
      </c>
      <c r="L5" s="3" t="n">
        <v>0</v>
      </c>
      <c r="M5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9" customWidth="1" min="4" max="4"/>
    <col width="11" customWidth="1" min="5" max="5"/>
    <col width="8" customWidth="1" min="6" max="6"/>
    <col width="12" customWidth="1" min="7" max="7"/>
    <col width="9" customWidth="1" min="8" max="8"/>
    <col width="13" customWidth="1" min="9" max="9"/>
    <col width="11" customWidth="1" min="10" max="10"/>
    <col width="12" customWidth="1" min="11" max="11"/>
    <col width="12" customWidth="1" min="12" max="12"/>
  </cols>
  <sheetData>
    <row r="1" ht="32" customHeight="1">
      <c r="A1" s="1" t="inlineStr">
        <is>
          <t>Publiée le</t>
        </is>
      </c>
      <c r="B1" s="1" t="inlineStr">
        <is>
          <t>Titre</t>
        </is>
      </c>
      <c r="C1" s="1" t="inlineStr">
        <is>
          <t>Lien</t>
        </is>
      </c>
      <c r="D1" s="1" t="inlineStr">
        <is>
          <t>Vues</t>
        </is>
      </c>
      <c r="E1" s="1" t="inlineStr">
        <is>
          <t>Comptes touchés</t>
        </is>
      </c>
      <c r="F1" s="1" t="inlineStr">
        <is>
          <t>Likes</t>
        </is>
      </c>
      <c r="G1" s="1" t="inlineStr">
        <is>
          <t>Commentaires</t>
        </is>
      </c>
      <c r="H1" s="1" t="inlineStr">
        <is>
          <t>Partages</t>
        </is>
      </c>
      <c r="I1" s="1" t="inlineStr">
        <is>
          <t>Enregistrements</t>
        </is>
      </c>
      <c r="J1" s="1" t="inlineStr">
        <is>
          <t>Interactions</t>
        </is>
      </c>
      <c r="K1" s="1" t="inlineStr">
        <is>
          <t>Taux d'engagement</t>
        </is>
      </c>
      <c r="L1" s="1" t="inlineStr">
        <is>
          <t>Vues / comptes touchés</t>
        </is>
      </c>
    </row>
    <row r="2">
      <c r="A2" s="2" t="inlineStr">
        <is>
          <t>2026-10-25 14:17</t>
        </is>
      </c>
      <c r="B2" s="2" t="inlineStr">
        <is>
          <t xml:space="preserve">Des millions publics promis. 244 salariés de </t>
        </is>
      </c>
      <c r="C2" s="4" t="inlineStr">
        <is>
          <t>ouvrir</t>
        </is>
      </c>
      <c r="D2" s="3" t="n">
        <v>131</v>
      </c>
      <c r="E2" s="3" t="n">
        <v>121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5">
        <f>IFERROR((F2+G2+H2+I2)/IF(E2&gt;0,E2,D2),0)</f>
        <v/>
      </c>
      <c r="L2" s="6">
        <f>IFERROR(D2/E2,0)</f>
        <v/>
      </c>
    </row>
    <row r="3">
      <c r="A3" s="2" t="inlineStr">
        <is>
          <t>2026-10-27 07:10</t>
        </is>
      </c>
      <c r="B3" s="2" t="inlineStr">
        <is>
          <t>À qui la France doit-elle 2 882 milliards d'e</t>
        </is>
      </c>
      <c r="C3" s="4" t="inlineStr">
        <is>
          <t>ouvrir</t>
        </is>
      </c>
      <c r="D3" s="3" t="n">
        <v>203</v>
      </c>
      <c r="E3" s="3" t="n">
        <v>189</v>
      </c>
      <c r="F3" s="3" t="n">
        <v>2</v>
      </c>
      <c r="G3" s="3" t="n">
        <v>0</v>
      </c>
      <c r="H3" s="3" t="n">
        <v>0</v>
      </c>
      <c r="I3" s="3" t="n">
        <v>0</v>
      </c>
      <c r="J3" s="3" t="n">
        <v>2</v>
      </c>
      <c r="K3" s="5">
        <f>IFERROR((F3+G3+H3+I3)/IF(E3&gt;0,E3,D3),0)</f>
        <v/>
      </c>
      <c r="L3" s="6">
        <f>IFERROR(D3/E3,0)</f>
        <v/>
      </c>
    </row>
    <row r="4">
      <c r="A4" s="2" t="inlineStr">
        <is>
          <t>2026-10-27 07:11</t>
        </is>
      </c>
      <c r="B4" s="2" t="inlineStr">
        <is>
          <t>Ton salaire brut n'est jamais ton salaire net</t>
        </is>
      </c>
      <c r="C4" s="4" t="inlineStr">
        <is>
          <t>ouvrir</t>
        </is>
      </c>
      <c r="D4" s="3" t="n">
        <v>94</v>
      </c>
      <c r="E4" s="3" t="n">
        <v>91</v>
      </c>
      <c r="F4" s="3" t="n">
        <v>1</v>
      </c>
      <c r="G4" s="3" t="n">
        <v>0</v>
      </c>
      <c r="H4" s="3" t="n">
        <v>0</v>
      </c>
      <c r="I4" s="3" t="n">
        <v>1</v>
      </c>
      <c r="J4" s="3" t="n">
        <v>3</v>
      </c>
      <c r="K4" s="5">
        <f>IFERROR((F4+G4+H4+I4)/IF(E4&gt;0,E4,D4),0)</f>
        <v/>
      </c>
      <c r="L4" s="6">
        <f>IFERROR(D4/E4,0)</f>
        <v/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1" t="inlineStr">
        <is>
          <t>Jour</t>
        </is>
      </c>
      <c r="B1" s="1" t="inlineStr">
        <is>
          <t>Des millions publics promis.</t>
        </is>
      </c>
      <c r="C1" s="1" t="inlineStr">
        <is>
          <t xml:space="preserve">À qui la France doit-elle 2 </t>
        </is>
      </c>
      <c r="D1" s="1" t="inlineStr">
        <is>
          <t>Ton salaire brut n'est jamai</t>
        </is>
      </c>
    </row>
    <row r="2">
      <c r="A2" s="2" t="inlineStr">
        <is>
          <t>2026-10-25</t>
        </is>
      </c>
      <c r="B2" s="3" t="n">
        <v>0</v>
      </c>
      <c r="C2" s="3" t="n"/>
      <c r="D2" s="3" t="n"/>
    </row>
    <row r="3">
      <c r="A3" s="2" t="inlineStr">
        <is>
          <t>2026-10-26</t>
        </is>
      </c>
      <c r="B3" s="3" t="n">
        <v>131</v>
      </c>
      <c r="C3" s="3" t="n"/>
      <c r="D3" s="3" t="n"/>
    </row>
    <row r="4">
      <c r="A4" s="2" t="inlineStr">
        <is>
          <t>2026-10-27</t>
        </is>
      </c>
      <c r="B4" s="3" t="n">
        <v>131</v>
      </c>
      <c r="C4" s="3" t="n">
        <v>202</v>
      </c>
      <c r="D4" s="3" t="n">
        <v>68</v>
      </c>
    </row>
    <row r="5">
      <c r="A5" s="2" t="inlineStr">
        <is>
          <t>2026-10-28</t>
        </is>
      </c>
      <c r="B5" s="3" t="n">
        <v>131</v>
      </c>
      <c r="C5" s="3" t="n">
        <v>203</v>
      </c>
      <c r="D5" s="3" t="n">
        <v>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32" customHeight="1">
      <c r="A1" s="1" t="inlineStr">
        <is>
          <t>Jour</t>
        </is>
      </c>
      <c r="B1" s="1" t="inlineStr">
        <is>
          <t>Des millions publics promis.</t>
        </is>
      </c>
      <c r="C1" s="1" t="inlineStr">
        <is>
          <t xml:space="preserve">À qui la France doit-elle 2 </t>
        </is>
      </c>
      <c r="D1" s="1" t="inlineStr">
        <is>
          <t>Ton salaire brut n'est jamai</t>
        </is>
      </c>
      <c r="E1" s="1" t="inlineStr">
        <is>
          <t>Total du jour</t>
        </is>
      </c>
    </row>
    <row r="2">
      <c r="A2" s="2" t="inlineStr">
        <is>
          <t>2026-10-25</t>
        </is>
      </c>
      <c r="B2" s="3">
        <f>IF('Évolution par vidéo'!B2="","",'Évolution par vidéo'!B2)</f>
        <v/>
      </c>
      <c r="C2" s="3">
        <f>IF('Évolution par vidéo'!C2="","",'Évolution par vidéo'!C2)</f>
        <v/>
      </c>
      <c r="D2" s="3">
        <f>IF('Évolution par vidéo'!D2="","",'Évolution par vidéo'!D2)</f>
        <v/>
      </c>
      <c r="E2" s="3">
        <f>SUM(B2:D2)</f>
        <v/>
      </c>
    </row>
    <row r="3">
      <c r="A3" s="2" t="inlineStr">
        <is>
          <t>2026-10-26</t>
        </is>
      </c>
      <c r="B3" s="3">
        <f>IF('Évolution par vidéo'!B3="","",'Évolution par vidéo'!B3-N('Évolution par vidéo'!B2))</f>
        <v/>
      </c>
      <c r="C3" s="3">
        <f>IF('Évolution par vidéo'!C3="","",'Évolution par vidéo'!C3-N('Évolution par vidéo'!C2))</f>
        <v/>
      </c>
      <c r="D3" s="3">
        <f>IF('Évolution par vidéo'!D3="","",'Évolution par vidéo'!D3-N('Évolution par vidéo'!D2))</f>
        <v/>
      </c>
      <c r="E3" s="3">
        <f>SUM(B3:D3)</f>
        <v/>
      </c>
    </row>
    <row r="4">
      <c r="A4" s="2" t="inlineStr">
        <is>
          <t>2026-10-27</t>
        </is>
      </c>
      <c r="B4" s="3">
        <f>IF('Évolution par vidéo'!B4="","",'Évolution par vidéo'!B4-N('Évolution par vidéo'!B3))</f>
        <v/>
      </c>
      <c r="C4" s="3">
        <f>IF('Évolution par vidéo'!C4="","",'Évolution par vidéo'!C4-N('Évolution par vidéo'!C3))</f>
        <v/>
      </c>
      <c r="D4" s="3">
        <f>IF('Évolution par vidéo'!D4="","",'Évolution par vidéo'!D4-N('Évolution par vidéo'!D3))</f>
        <v/>
      </c>
      <c r="E4" s="3">
        <f>SUM(B4:D4)</f>
        <v/>
      </c>
    </row>
    <row r="5">
      <c r="A5" s="2" t="inlineStr">
        <is>
          <t>2026-10-28</t>
        </is>
      </c>
      <c r="B5" s="3">
        <f>IF('Évolution par vidéo'!B5="","",'Évolution par vidéo'!B5-N('Évolution par vidéo'!B4))</f>
        <v/>
      </c>
      <c r="C5" s="3">
        <f>IF('Évolution par vidéo'!C5="","",'Évolution par vidéo'!C5-N('Évolution par vidéo'!C4))</f>
        <v/>
      </c>
      <c r="D5" s="3">
        <f>IF('Évolution par vidéo'!D5="","",'Évolution par vidéo'!D5-N('Évolution par vidéo'!D4))</f>
        <v/>
      </c>
      <c r="E5" s="3">
        <f>SUM(B5:D5)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4" customWidth="1" min="4" max="4"/>
    <col width="14" customWidth="1" min="5" max="5"/>
    <col width="11" customWidth="1" min="6" max="6"/>
  </cols>
  <sheetData>
    <row r="1" ht="32" customHeight="1">
      <c r="A1" s="1" t="inlineStr">
        <is>
          <t>Heure</t>
        </is>
      </c>
      <c r="B1" s="1" t="inlineStr">
        <is>
          <t>Abonnés</t>
        </is>
      </c>
      <c r="C1" s="1" t="inlineStr">
        <is>
          <t>10-25 Des millions publics p</t>
        </is>
      </c>
      <c r="D1" s="1" t="inlineStr">
        <is>
          <t>10-27 À qui la France doit-e</t>
        </is>
      </c>
      <c r="E1" s="1" t="inlineStr">
        <is>
          <t>10-27 Ton salaire brut n'est</t>
        </is>
      </c>
      <c r="F1" s="1" t="inlineStr">
        <is>
          <t>Vues totales</t>
        </is>
      </c>
    </row>
    <row r="2">
      <c r="A2" s="2" t="inlineStr">
        <is>
          <t>2026-10-25 11:00</t>
        </is>
      </c>
      <c r="B2" s="3" t="n">
        <v>0</v>
      </c>
      <c r="C2" s="3" t="n"/>
      <c r="D2" s="3" t="n"/>
      <c r="E2" s="3" t="n"/>
      <c r="F2" s="3">
        <f>SUM(C2:E2)</f>
        <v/>
      </c>
    </row>
    <row r="3">
      <c r="A3" s="2" t="inlineStr">
        <is>
          <t>2026-10-25 12:00</t>
        </is>
      </c>
      <c r="B3" s="3" t="n">
        <v>0</v>
      </c>
      <c r="C3" s="3" t="n"/>
      <c r="D3" s="3" t="n"/>
      <c r="E3" s="3" t="n"/>
      <c r="F3" s="3">
        <f>SUM(C3:E3)</f>
        <v/>
      </c>
    </row>
    <row r="4">
      <c r="A4" s="2" t="inlineStr">
        <is>
          <t>2026-10-25 13:00</t>
        </is>
      </c>
      <c r="B4" s="3" t="n">
        <v>0</v>
      </c>
      <c r="C4" s="3" t="n"/>
      <c r="D4" s="3" t="n"/>
      <c r="E4" s="3" t="n"/>
      <c r="F4" s="3">
        <f>SUM(C4:E4)</f>
        <v/>
      </c>
    </row>
    <row r="5">
      <c r="A5" s="2" t="inlineStr">
        <is>
          <t>2026-10-25 14:00</t>
        </is>
      </c>
      <c r="B5" s="3" t="n">
        <v>0</v>
      </c>
      <c r="C5" s="3" t="n"/>
      <c r="D5" s="3" t="n"/>
      <c r="E5" s="3" t="n"/>
      <c r="F5" s="3">
        <f>SUM(C5:E5)</f>
        <v/>
      </c>
    </row>
    <row r="6">
      <c r="A6" s="2" t="inlineStr">
        <is>
          <t>2026-10-25 15:00</t>
        </is>
      </c>
      <c r="B6" s="3" t="n">
        <v>0</v>
      </c>
      <c r="C6" s="3" t="n"/>
      <c r="D6" s="3" t="n"/>
      <c r="E6" s="3" t="n"/>
      <c r="F6" s="3">
        <f>SUM(C6:E6)</f>
        <v/>
      </c>
    </row>
    <row r="7">
      <c r="A7" s="2" t="inlineStr">
        <is>
          <t>2026-10-25 16:00</t>
        </is>
      </c>
      <c r="B7" s="3" t="n">
        <v>0</v>
      </c>
      <c r="C7" s="3" t="n">
        <v>45</v>
      </c>
      <c r="D7" s="3" t="n"/>
      <c r="E7" s="3" t="n"/>
      <c r="F7" s="3">
        <f>SUM(C7:E7)</f>
        <v/>
      </c>
    </row>
    <row r="8">
      <c r="A8" s="2" t="inlineStr">
        <is>
          <t>2026-10-25 17:00</t>
        </is>
      </c>
      <c r="B8" s="3" t="n">
        <v>0</v>
      </c>
      <c r="C8" s="3" t="n">
        <v>116</v>
      </c>
      <c r="D8" s="3" t="n"/>
      <c r="E8" s="3" t="n"/>
      <c r="F8" s="3">
        <f>SUM(C8:E8)</f>
        <v/>
      </c>
    </row>
    <row r="9">
      <c r="A9" s="2" t="inlineStr">
        <is>
          <t>2026-10-25 18:00</t>
        </is>
      </c>
      <c r="B9" s="3" t="n">
        <v>0</v>
      </c>
      <c r="C9" s="3" t="n">
        <v>128</v>
      </c>
      <c r="D9" s="3" t="n"/>
      <c r="E9" s="3" t="n"/>
      <c r="F9" s="3">
        <f>SUM(C9:E9)</f>
        <v/>
      </c>
    </row>
    <row r="10">
      <c r="A10" s="2" t="inlineStr">
        <is>
          <t>2026-10-25 19:00</t>
        </is>
      </c>
      <c r="B10" s="3" t="n">
        <v>0</v>
      </c>
      <c r="C10" s="3" t="n">
        <v>128</v>
      </c>
      <c r="D10" s="3" t="n"/>
      <c r="E10" s="3" t="n"/>
      <c r="F10" s="3">
        <f>SUM(C10:E10)</f>
        <v/>
      </c>
    </row>
    <row r="11">
      <c r="A11" s="2" t="inlineStr">
        <is>
          <t>2026-10-25 20:00</t>
        </is>
      </c>
      <c r="B11" s="3" t="n">
        <v>0</v>
      </c>
      <c r="C11" s="3" t="n">
        <v>129</v>
      </c>
      <c r="D11" s="3" t="n"/>
      <c r="E11" s="3" t="n"/>
      <c r="F11" s="3">
        <f>SUM(C11:E11)</f>
        <v/>
      </c>
    </row>
    <row r="12">
      <c r="A12" s="2" t="inlineStr">
        <is>
          <t>2026-10-25 21:00</t>
        </is>
      </c>
      <c r="B12" s="3" t="n">
        <v>0</v>
      </c>
      <c r="C12" s="3" t="n">
        <v>129</v>
      </c>
      <c r="D12" s="3" t="n"/>
      <c r="E12" s="3" t="n"/>
      <c r="F12" s="3">
        <f>SUM(C12:E12)</f>
        <v/>
      </c>
    </row>
    <row r="13">
      <c r="A13" s="2" t="inlineStr">
        <is>
          <t>2026-10-25 22:00</t>
        </is>
      </c>
      <c r="B13" s="3" t="n">
        <v>0</v>
      </c>
      <c r="C13" s="3" t="n">
        <v>129</v>
      </c>
      <c r="D13" s="3" t="n"/>
      <c r="E13" s="3" t="n"/>
      <c r="F13" s="3">
        <f>SUM(C13:E13)</f>
        <v/>
      </c>
    </row>
    <row r="14">
      <c r="A14" s="2" t="inlineStr">
        <is>
          <t>2026-10-26 06:00</t>
        </is>
      </c>
      <c r="B14" s="3" t="n">
        <v>0</v>
      </c>
      <c r="C14" s="3" t="n">
        <v>129</v>
      </c>
      <c r="D14" s="3" t="n"/>
      <c r="E14" s="3" t="n"/>
      <c r="F14" s="3">
        <f>SUM(C14:E14)</f>
        <v/>
      </c>
    </row>
    <row r="15">
      <c r="A15" s="2" t="inlineStr">
        <is>
          <t>2026-10-26 07:00</t>
        </is>
      </c>
      <c r="B15" s="3" t="n">
        <v>0</v>
      </c>
      <c r="C15" s="3" t="n">
        <v>129</v>
      </c>
      <c r="D15" s="3" t="n"/>
      <c r="E15" s="3" t="n"/>
      <c r="F15" s="3">
        <f>SUM(C15:E15)</f>
        <v/>
      </c>
    </row>
    <row r="16">
      <c r="A16" s="2" t="inlineStr">
        <is>
          <t>2026-10-26 08:00</t>
        </is>
      </c>
      <c r="B16" s="3" t="n">
        <v>0</v>
      </c>
      <c r="C16" s="3" t="n">
        <v>129</v>
      </c>
      <c r="D16" s="3" t="n"/>
      <c r="E16" s="3" t="n"/>
      <c r="F16" s="3">
        <f>SUM(C16:E16)</f>
        <v/>
      </c>
    </row>
    <row r="17">
      <c r="A17" s="2" t="inlineStr">
        <is>
          <t>2026-10-26 09:00</t>
        </is>
      </c>
      <c r="B17" s="3" t="n">
        <v>0</v>
      </c>
      <c r="C17" s="3" t="n">
        <v>131</v>
      </c>
      <c r="D17" s="3" t="n"/>
      <c r="E17" s="3" t="n"/>
      <c r="F17" s="3">
        <f>SUM(C17:E17)</f>
        <v/>
      </c>
    </row>
    <row r="18">
      <c r="A18" s="2" t="inlineStr">
        <is>
          <t>2026-10-26 10:00</t>
        </is>
      </c>
      <c r="B18" s="3" t="n">
        <v>0</v>
      </c>
      <c r="C18" s="3" t="n">
        <v>131</v>
      </c>
      <c r="D18" s="3" t="n"/>
      <c r="E18" s="3" t="n"/>
      <c r="F18" s="3">
        <f>SUM(C18:E18)</f>
        <v/>
      </c>
    </row>
    <row r="19">
      <c r="A19" s="2" t="inlineStr">
        <is>
          <t>2026-10-26 11:00</t>
        </is>
      </c>
      <c r="B19" s="3" t="n">
        <v>0</v>
      </c>
      <c r="C19" s="3" t="n">
        <v>131</v>
      </c>
      <c r="D19" s="3" t="n"/>
      <c r="E19" s="3" t="n"/>
      <c r="F19" s="3">
        <f>SUM(C19:E19)</f>
        <v/>
      </c>
    </row>
    <row r="20">
      <c r="A20" s="2" t="inlineStr">
        <is>
          <t>2026-10-26 12:00</t>
        </is>
      </c>
      <c r="B20" s="3" t="n">
        <v>0</v>
      </c>
      <c r="C20" s="3" t="n">
        <v>131</v>
      </c>
      <c r="D20" s="3" t="n"/>
      <c r="E20" s="3" t="n"/>
      <c r="F20" s="3">
        <f>SUM(C20:E20)</f>
        <v/>
      </c>
    </row>
    <row r="21">
      <c r="A21" s="2" t="inlineStr">
        <is>
          <t>2026-10-26 14:00</t>
        </is>
      </c>
      <c r="B21" s="3" t="n">
        <v>0</v>
      </c>
      <c r="C21" s="3" t="n">
        <v>131</v>
      </c>
      <c r="D21" s="3" t="n"/>
      <c r="E21" s="3" t="n"/>
      <c r="F21" s="3">
        <f>SUM(C21:E21)</f>
        <v/>
      </c>
    </row>
    <row r="22">
      <c r="A22" s="2" t="inlineStr">
        <is>
          <t>2026-10-26 16:00</t>
        </is>
      </c>
      <c r="B22" s="3" t="n">
        <v>0</v>
      </c>
      <c r="C22" s="3" t="n">
        <v>131</v>
      </c>
      <c r="D22" s="3" t="n"/>
      <c r="E22" s="3" t="n"/>
      <c r="F22" s="3">
        <f>SUM(C22:E22)</f>
        <v/>
      </c>
    </row>
    <row r="23">
      <c r="A23" s="2" t="inlineStr">
        <is>
          <t>2026-10-26 17:00</t>
        </is>
      </c>
      <c r="B23" s="3" t="n">
        <v>0</v>
      </c>
      <c r="C23" s="3" t="n">
        <v>131</v>
      </c>
      <c r="D23" s="3" t="n"/>
      <c r="E23" s="3" t="n"/>
      <c r="F23" s="3">
        <f>SUM(C23:E23)</f>
        <v/>
      </c>
    </row>
    <row r="24">
      <c r="A24" s="2" t="inlineStr">
        <is>
          <t>2026-10-26 18:00</t>
        </is>
      </c>
      <c r="B24" s="3" t="n">
        <v>0</v>
      </c>
      <c r="C24" s="3" t="n">
        <v>131</v>
      </c>
      <c r="D24" s="3" t="n"/>
      <c r="E24" s="3" t="n"/>
      <c r="F24" s="3">
        <f>SUM(C24:E24)</f>
        <v/>
      </c>
    </row>
    <row r="25">
      <c r="A25" s="2" t="inlineStr">
        <is>
          <t>2026-10-26 19:00</t>
        </is>
      </c>
      <c r="B25" s="3" t="n">
        <v>0</v>
      </c>
      <c r="C25" s="3" t="n">
        <v>131</v>
      </c>
      <c r="D25" s="3" t="n"/>
      <c r="E25" s="3" t="n"/>
      <c r="F25" s="3">
        <f>SUM(C25:E25)</f>
        <v/>
      </c>
    </row>
    <row r="26">
      <c r="A26" s="2" t="inlineStr">
        <is>
          <t>2026-10-26 20:00</t>
        </is>
      </c>
      <c r="B26" s="3" t="n">
        <v>0</v>
      </c>
      <c r="C26" s="3" t="n">
        <v>131</v>
      </c>
      <c r="D26" s="3" t="n"/>
      <c r="E26" s="3" t="n"/>
      <c r="F26" s="3">
        <f>SUM(C26:E26)</f>
        <v/>
      </c>
    </row>
    <row r="27">
      <c r="A27" s="2" t="inlineStr">
        <is>
          <t>2026-10-26 21:00</t>
        </is>
      </c>
      <c r="B27" s="3" t="n">
        <v>0</v>
      </c>
      <c r="C27" s="3" t="n">
        <v>131</v>
      </c>
      <c r="D27" s="3" t="n"/>
      <c r="E27" s="3" t="n"/>
      <c r="F27" s="3">
        <f>SUM(C27:E27)</f>
        <v/>
      </c>
    </row>
    <row r="28">
      <c r="A28" s="2" t="inlineStr">
        <is>
          <t>2026-10-27 08:00</t>
        </is>
      </c>
      <c r="B28" s="3" t="n">
        <v>0</v>
      </c>
      <c r="C28" s="3" t="n">
        <v>131</v>
      </c>
      <c r="D28" s="3" t="n">
        <v>0</v>
      </c>
      <c r="E28" s="3" t="n">
        <v>0</v>
      </c>
      <c r="F28" s="3">
        <f>SUM(C28:E28)</f>
        <v/>
      </c>
    </row>
    <row r="29">
      <c r="A29" s="2" t="inlineStr">
        <is>
          <t>2026-10-27 09:00</t>
        </is>
      </c>
      <c r="B29" s="3" t="n">
        <v>0</v>
      </c>
      <c r="C29" s="3" t="n">
        <v>131</v>
      </c>
      <c r="D29" s="3" t="n">
        <v>91</v>
      </c>
      <c r="E29" s="3" t="n">
        <v>0</v>
      </c>
      <c r="F29" s="3">
        <f>SUM(C29:E29)</f>
        <v/>
      </c>
    </row>
    <row r="30">
      <c r="A30" s="2" t="inlineStr">
        <is>
          <t>2026-10-27 10:00</t>
        </is>
      </c>
      <c r="B30" s="3" t="n">
        <v>0</v>
      </c>
      <c r="C30" s="3" t="n">
        <v>131</v>
      </c>
      <c r="D30" s="3" t="n">
        <v>150</v>
      </c>
      <c r="E30" s="3" t="n">
        <v>52</v>
      </c>
      <c r="F30" s="3">
        <f>SUM(C30:E30)</f>
        <v/>
      </c>
    </row>
    <row r="31">
      <c r="A31" s="2" t="inlineStr">
        <is>
          <t>2026-10-27 11:00</t>
        </is>
      </c>
      <c r="B31" s="3" t="n">
        <v>0</v>
      </c>
      <c r="C31" s="3" t="n">
        <v>131</v>
      </c>
      <c r="D31" s="3" t="n">
        <v>169</v>
      </c>
      <c r="E31" s="3" t="n">
        <v>55</v>
      </c>
      <c r="F31" s="3">
        <f>SUM(C31:E31)</f>
        <v/>
      </c>
    </row>
    <row r="32">
      <c r="A32" s="2" t="inlineStr">
        <is>
          <t>2026-10-27 12:00</t>
        </is>
      </c>
      <c r="B32" s="3" t="n">
        <v>0</v>
      </c>
      <c r="C32" s="3" t="n">
        <v>131</v>
      </c>
      <c r="D32" s="3" t="n">
        <v>182</v>
      </c>
      <c r="E32" s="3" t="n">
        <v>61</v>
      </c>
      <c r="F32" s="3">
        <f>SUM(C32:E32)</f>
        <v/>
      </c>
    </row>
    <row r="33">
      <c r="A33" s="2" t="inlineStr">
        <is>
          <t>2026-10-27 13:00</t>
        </is>
      </c>
      <c r="B33" s="3" t="n">
        <v>0</v>
      </c>
      <c r="C33" s="3" t="n">
        <v>131</v>
      </c>
      <c r="D33" s="3" t="n">
        <v>200</v>
      </c>
      <c r="E33" s="3" t="n">
        <v>63</v>
      </c>
      <c r="F33" s="3">
        <f>SUM(C33:E33)</f>
        <v/>
      </c>
    </row>
    <row r="34">
      <c r="A34" s="2" t="inlineStr">
        <is>
          <t>2026-10-27 14:00</t>
        </is>
      </c>
      <c r="B34" s="3" t="n">
        <v>0</v>
      </c>
      <c r="C34" s="3" t="n">
        <v>131</v>
      </c>
      <c r="D34" s="3" t="n">
        <v>202</v>
      </c>
      <c r="E34" s="3" t="n">
        <v>65</v>
      </c>
      <c r="F34" s="3">
        <f>SUM(C34:E34)</f>
        <v/>
      </c>
    </row>
    <row r="35">
      <c r="A35" s="2" t="inlineStr">
        <is>
          <t>2026-10-27 15:00</t>
        </is>
      </c>
      <c r="B35" s="3" t="n">
        <v>0</v>
      </c>
      <c r="C35" s="3" t="n">
        <v>131</v>
      </c>
      <c r="D35" s="3" t="n">
        <v>202</v>
      </c>
      <c r="E35" s="3" t="n">
        <v>66</v>
      </c>
      <c r="F35" s="3">
        <f>SUM(C35:E35)</f>
        <v/>
      </c>
    </row>
    <row r="36">
      <c r="A36" s="2" t="inlineStr">
        <is>
          <t>2026-10-27 16:00</t>
        </is>
      </c>
      <c r="B36" s="3" t="n">
        <v>0</v>
      </c>
      <c r="C36" s="3" t="n">
        <v>131</v>
      </c>
      <c r="D36" s="3" t="n">
        <v>202</v>
      </c>
      <c r="E36" s="3" t="n">
        <v>69</v>
      </c>
      <c r="F36" s="3">
        <f>SUM(C36:E36)</f>
        <v/>
      </c>
    </row>
    <row r="37">
      <c r="A37" s="2" t="inlineStr">
        <is>
          <t>2026-10-27 17:00</t>
        </is>
      </c>
      <c r="B37" s="3" t="n">
        <v>0</v>
      </c>
      <c r="C37" s="3" t="n">
        <v>131</v>
      </c>
      <c r="D37" s="3" t="n">
        <v>202</v>
      </c>
      <c r="E37" s="3" t="n">
        <v>78</v>
      </c>
      <c r="F37" s="3">
        <f>SUM(C37:E37)</f>
        <v/>
      </c>
    </row>
    <row r="38">
      <c r="A38" s="2" t="inlineStr">
        <is>
          <t>2026-10-27 18:00</t>
        </is>
      </c>
      <c r="B38" s="3" t="n">
        <v>0</v>
      </c>
      <c r="C38" s="3" t="n">
        <v>131</v>
      </c>
      <c r="D38" s="3" t="n">
        <v>202</v>
      </c>
      <c r="E38" s="3" t="n">
        <v>81</v>
      </c>
      <c r="F38" s="3">
        <f>SUM(C38:E38)</f>
        <v/>
      </c>
    </row>
    <row r="39">
      <c r="A39" s="2" t="inlineStr">
        <is>
          <t>2026-10-27 19:00</t>
        </is>
      </c>
      <c r="B39" s="3" t="n">
        <v>0</v>
      </c>
      <c r="C39" s="3" t="n">
        <v>131</v>
      </c>
      <c r="D39" s="3" t="n">
        <v>202</v>
      </c>
      <c r="E39" s="3" t="n">
        <v>81</v>
      </c>
      <c r="F39" s="3">
        <f>SUM(C39:E39)</f>
        <v/>
      </c>
    </row>
    <row r="40">
      <c r="A40" s="2" t="inlineStr">
        <is>
          <t>2026-10-27 20:00</t>
        </is>
      </c>
      <c r="B40" s="3" t="n">
        <v>0</v>
      </c>
      <c r="C40" s="3" t="n">
        <v>131</v>
      </c>
      <c r="D40" s="3" t="n">
        <v>203</v>
      </c>
      <c r="E40" s="3" t="n">
        <v>83</v>
      </c>
      <c r="F40" s="3">
        <f>SUM(C40:E40)</f>
        <v/>
      </c>
    </row>
    <row r="41">
      <c r="A41" s="2" t="inlineStr">
        <is>
          <t>2026-10-27 21:00</t>
        </is>
      </c>
      <c r="B41" s="3" t="n">
        <v>0</v>
      </c>
      <c r="C41" s="3" t="n">
        <v>131</v>
      </c>
      <c r="D41" s="3" t="n">
        <v>203</v>
      </c>
      <c r="E41" s="3" t="n">
        <v>84</v>
      </c>
      <c r="F41" s="3">
        <f>SUM(C41:E41)</f>
        <v/>
      </c>
    </row>
    <row r="42">
      <c r="A42" s="2" t="inlineStr">
        <is>
          <t>2026-10-27 22:00</t>
        </is>
      </c>
      <c r="B42" s="3" t="n">
        <v>0</v>
      </c>
      <c r="C42" s="3" t="n">
        <v>131</v>
      </c>
      <c r="D42" s="3" t="n">
        <v>203</v>
      </c>
      <c r="E42" s="3" t="n">
        <v>85</v>
      </c>
      <c r="F42" s="3">
        <f>SUM(C42:E42)</f>
        <v/>
      </c>
    </row>
    <row r="43">
      <c r="A43" s="2" t="inlineStr">
        <is>
          <t>2026-10-27 23:00</t>
        </is>
      </c>
      <c r="B43" s="3" t="n">
        <v>0</v>
      </c>
      <c r="C43" s="3" t="n">
        <v>131</v>
      </c>
      <c r="D43" s="3" t="n">
        <v>203</v>
      </c>
      <c r="E43" s="3" t="n">
        <v>87</v>
      </c>
      <c r="F43" s="3">
        <f>SUM(C43:E43)</f>
        <v/>
      </c>
    </row>
    <row r="44">
      <c r="A44" s="2" t="inlineStr">
        <is>
          <t>2026-10-28 06:00</t>
        </is>
      </c>
      <c r="B44" s="3" t="n">
        <v>0</v>
      </c>
      <c r="C44" s="3" t="n">
        <v>131</v>
      </c>
      <c r="D44" s="3" t="n">
        <v>203</v>
      </c>
      <c r="E44" s="3" t="n">
        <v>90</v>
      </c>
      <c r="F44" s="3">
        <f>SUM(C44:E44)</f>
        <v/>
      </c>
    </row>
    <row r="45">
      <c r="A45" s="2" t="inlineStr">
        <is>
          <t>2026-10-28 07:00</t>
        </is>
      </c>
      <c r="B45" s="3" t="n">
        <v>0</v>
      </c>
      <c r="C45" s="3" t="n">
        <v>131</v>
      </c>
      <c r="D45" s="3" t="n">
        <v>203</v>
      </c>
      <c r="E45" s="3" t="n">
        <v>92</v>
      </c>
      <c r="F45" s="3">
        <f>SUM(C45:E45)</f>
        <v/>
      </c>
    </row>
    <row r="46">
      <c r="A46" s="2" t="inlineStr">
        <is>
          <t>2026-10-28 08:00</t>
        </is>
      </c>
      <c r="B46" s="3" t="n">
        <v>0</v>
      </c>
      <c r="C46" s="3" t="n">
        <v>131</v>
      </c>
      <c r="D46" s="3" t="n">
        <v>203</v>
      </c>
      <c r="E46" s="3" t="n">
        <v>94</v>
      </c>
      <c r="F46" s="3">
        <f>SUM(C46:E46)</f>
        <v/>
      </c>
    </row>
    <row r="47">
      <c r="A47" s="2" t="inlineStr">
        <is>
          <t>2026-10-28 09:00</t>
        </is>
      </c>
      <c r="B47" s="3" t="n">
        <v>0</v>
      </c>
      <c r="C47" s="3" t="n">
        <v>131</v>
      </c>
      <c r="D47" s="3" t="n">
        <v>203</v>
      </c>
      <c r="E47" s="3" t="n">
        <v>94</v>
      </c>
      <c r="F47" s="3">
        <f>SUM(C47:E47)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 ht="32" customHeight="1">
      <c r="A1" s="1" t="inlineStr">
        <is>
          <t>Heure</t>
        </is>
      </c>
      <c r="B1" s="1" t="inlineStr">
        <is>
          <t>10-25 Des millions publics p</t>
        </is>
      </c>
      <c r="C1" s="1" t="inlineStr">
        <is>
          <t>10-27 À qui la France doit-e</t>
        </is>
      </c>
      <c r="D1" s="1" t="inlineStr">
        <is>
          <t>10-27 Ton salaire brut n'est</t>
        </is>
      </c>
      <c r="E1" s="1" t="inlineStr">
        <is>
          <t>Total de l'heure</t>
        </is>
      </c>
    </row>
    <row r="2">
      <c r="A2" s="2">
        <f>'Heure par heure'!A2</f>
        <v/>
      </c>
      <c r="B2" s="3" t="inlineStr"/>
      <c r="C2" s="3" t="inlineStr"/>
      <c r="D2" s="3" t="inlineStr"/>
      <c r="E2" s="3">
        <f>SUM(B2:D2)</f>
        <v/>
      </c>
    </row>
    <row r="3">
      <c r="A3" s="2">
        <f>'Heure par heure'!A3</f>
        <v/>
      </c>
      <c r="B3" s="3">
        <f>IF('Heure par heure'!C3="","",'Heure par heure'!C3-N('Heure par heure'!C2))</f>
        <v/>
      </c>
      <c r="C3" s="3">
        <f>IF('Heure par heure'!D3="","",'Heure par heure'!D3-N('Heure par heure'!D2))</f>
        <v/>
      </c>
      <c r="D3" s="3">
        <f>IF('Heure par heure'!E3="","",'Heure par heure'!E3-N('Heure par heure'!E2))</f>
        <v/>
      </c>
      <c r="E3" s="3">
        <f>SUM(B3:D3)</f>
        <v/>
      </c>
    </row>
    <row r="4">
      <c r="A4" s="2">
        <f>'Heure par heure'!A4</f>
        <v/>
      </c>
      <c r="B4" s="3">
        <f>IF('Heure par heure'!C4="","",'Heure par heure'!C4-N('Heure par heure'!C3))</f>
        <v/>
      </c>
      <c r="C4" s="3">
        <f>IF('Heure par heure'!D4="","",'Heure par heure'!D4-N('Heure par heure'!D3))</f>
        <v/>
      </c>
      <c r="D4" s="3">
        <f>IF('Heure par heure'!E4="","",'Heure par heure'!E4-N('Heure par heure'!E3))</f>
        <v/>
      </c>
      <c r="E4" s="3">
        <f>SUM(B4:D4)</f>
        <v/>
      </c>
    </row>
    <row r="5">
      <c r="A5" s="2">
        <f>'Heure par heure'!A5</f>
        <v/>
      </c>
      <c r="B5" s="3">
        <f>IF('Heure par heure'!C5="","",'Heure par heure'!C5-N('Heure par heure'!C4))</f>
        <v/>
      </c>
      <c r="C5" s="3">
        <f>IF('Heure par heure'!D5="","",'Heure par heure'!D5-N('Heure par heure'!D4))</f>
        <v/>
      </c>
      <c r="D5" s="3">
        <f>IF('Heure par heure'!E5="","",'Heure par heure'!E5-N('Heure par heure'!E4))</f>
        <v/>
      </c>
      <c r="E5" s="3">
        <f>SUM(B5:D5)</f>
        <v/>
      </c>
    </row>
    <row r="6">
      <c r="A6" s="2">
        <f>'Heure par heure'!A6</f>
        <v/>
      </c>
      <c r="B6" s="3">
        <f>IF('Heure par heure'!C6="","",'Heure par heure'!C6-N('Heure par heure'!C5))</f>
        <v/>
      </c>
      <c r="C6" s="3">
        <f>IF('Heure par heure'!D6="","",'Heure par heure'!D6-N('Heure par heure'!D5))</f>
        <v/>
      </c>
      <c r="D6" s="3">
        <f>IF('Heure par heure'!E6="","",'Heure par heure'!E6-N('Heure par heure'!E5))</f>
        <v/>
      </c>
      <c r="E6" s="3">
        <f>SUM(B6:D6)</f>
        <v/>
      </c>
    </row>
    <row r="7">
      <c r="A7" s="2">
        <f>'Heure par heure'!A7</f>
        <v/>
      </c>
      <c r="B7" s="3">
        <f>IF('Heure par heure'!C7="","",'Heure par heure'!C7-N('Heure par heure'!C6))</f>
        <v/>
      </c>
      <c r="C7" s="3">
        <f>IF('Heure par heure'!D7="","",'Heure par heure'!D7-N('Heure par heure'!D6))</f>
        <v/>
      </c>
      <c r="D7" s="3">
        <f>IF('Heure par heure'!E7="","",'Heure par heure'!E7-N('Heure par heure'!E6))</f>
        <v/>
      </c>
      <c r="E7" s="3">
        <f>SUM(B7:D7)</f>
        <v/>
      </c>
    </row>
    <row r="8">
      <c r="A8" s="2">
        <f>'Heure par heure'!A8</f>
        <v/>
      </c>
      <c r="B8" s="3">
        <f>IF('Heure par heure'!C8="","",'Heure par heure'!C8-N('Heure par heure'!C7))</f>
        <v/>
      </c>
      <c r="C8" s="3">
        <f>IF('Heure par heure'!D8="","",'Heure par heure'!D8-N('Heure par heure'!D7))</f>
        <v/>
      </c>
      <c r="D8" s="3">
        <f>IF('Heure par heure'!E8="","",'Heure par heure'!E8-N('Heure par heure'!E7))</f>
        <v/>
      </c>
      <c r="E8" s="3">
        <f>SUM(B8:D8)</f>
        <v/>
      </c>
    </row>
    <row r="9">
      <c r="A9" s="2">
        <f>'Heure par heure'!A9</f>
        <v/>
      </c>
      <c r="B9" s="3">
        <f>IF('Heure par heure'!C9="","",'Heure par heure'!C9-N('Heure par heure'!C8))</f>
        <v/>
      </c>
      <c r="C9" s="3">
        <f>IF('Heure par heure'!D9="","",'Heure par heure'!D9-N('Heure par heure'!D8))</f>
        <v/>
      </c>
      <c r="D9" s="3">
        <f>IF('Heure par heure'!E9="","",'Heure par heure'!E9-N('Heure par heure'!E8))</f>
        <v/>
      </c>
      <c r="E9" s="3">
        <f>SUM(B9:D9)</f>
        <v/>
      </c>
    </row>
    <row r="10">
      <c r="A10" s="2">
        <f>'Heure par heure'!A10</f>
        <v/>
      </c>
      <c r="B10" s="3">
        <f>IF('Heure par heure'!C10="","",'Heure par heure'!C10-N('Heure par heure'!C9))</f>
        <v/>
      </c>
      <c r="C10" s="3">
        <f>IF('Heure par heure'!D10="","",'Heure par heure'!D10-N('Heure par heure'!D9))</f>
        <v/>
      </c>
      <c r="D10" s="3">
        <f>IF('Heure par heure'!E10="","",'Heure par heure'!E10-N('Heure par heure'!E9))</f>
        <v/>
      </c>
      <c r="E10" s="3">
        <f>SUM(B10:D10)</f>
        <v/>
      </c>
    </row>
    <row r="11">
      <c r="A11" s="2">
        <f>'Heure par heure'!A11</f>
        <v/>
      </c>
      <c r="B11" s="3">
        <f>IF('Heure par heure'!C11="","",'Heure par heure'!C11-N('Heure par heure'!C10))</f>
        <v/>
      </c>
      <c r="C11" s="3">
        <f>IF('Heure par heure'!D11="","",'Heure par heure'!D11-N('Heure par heure'!D10))</f>
        <v/>
      </c>
      <c r="D11" s="3">
        <f>IF('Heure par heure'!E11="","",'Heure par heure'!E11-N('Heure par heure'!E10))</f>
        <v/>
      </c>
      <c r="E11" s="3">
        <f>SUM(B11:D11)</f>
        <v/>
      </c>
    </row>
    <row r="12">
      <c r="A12" s="2">
        <f>'Heure par heure'!A12</f>
        <v/>
      </c>
      <c r="B12" s="3">
        <f>IF('Heure par heure'!C12="","",'Heure par heure'!C12-N('Heure par heure'!C11))</f>
        <v/>
      </c>
      <c r="C12" s="3">
        <f>IF('Heure par heure'!D12="","",'Heure par heure'!D12-N('Heure par heure'!D11))</f>
        <v/>
      </c>
      <c r="D12" s="3">
        <f>IF('Heure par heure'!E12="","",'Heure par heure'!E12-N('Heure par heure'!E11))</f>
        <v/>
      </c>
      <c r="E12" s="3">
        <f>SUM(B12:D12)</f>
        <v/>
      </c>
    </row>
    <row r="13">
      <c r="A13" s="2">
        <f>'Heure par heure'!A13</f>
        <v/>
      </c>
      <c r="B13" s="3">
        <f>IF('Heure par heure'!C13="","",'Heure par heure'!C13-N('Heure par heure'!C12))</f>
        <v/>
      </c>
      <c r="C13" s="3">
        <f>IF('Heure par heure'!D13="","",'Heure par heure'!D13-N('Heure par heure'!D12))</f>
        <v/>
      </c>
      <c r="D13" s="3">
        <f>IF('Heure par heure'!E13="","",'Heure par heure'!E13-N('Heure par heure'!E12))</f>
        <v/>
      </c>
      <c r="E13" s="3">
        <f>SUM(B13:D13)</f>
        <v/>
      </c>
    </row>
    <row r="14">
      <c r="A14" s="2">
        <f>'Heure par heure'!A14</f>
        <v/>
      </c>
      <c r="B14" s="3">
        <f>IF('Heure par heure'!C14="","",'Heure par heure'!C14-N('Heure par heure'!C13))</f>
        <v/>
      </c>
      <c r="C14" s="3">
        <f>IF('Heure par heure'!D14="","",'Heure par heure'!D14-N('Heure par heure'!D13))</f>
        <v/>
      </c>
      <c r="D14" s="3">
        <f>IF('Heure par heure'!E14="","",'Heure par heure'!E14-N('Heure par heure'!E13))</f>
        <v/>
      </c>
      <c r="E14" s="3">
        <f>SUM(B14:D14)</f>
        <v/>
      </c>
    </row>
    <row r="15">
      <c r="A15" s="2">
        <f>'Heure par heure'!A15</f>
        <v/>
      </c>
      <c r="B15" s="3">
        <f>IF('Heure par heure'!C15="","",'Heure par heure'!C15-N('Heure par heure'!C14))</f>
        <v/>
      </c>
      <c r="C15" s="3">
        <f>IF('Heure par heure'!D15="","",'Heure par heure'!D15-N('Heure par heure'!D14))</f>
        <v/>
      </c>
      <c r="D15" s="3">
        <f>IF('Heure par heure'!E15="","",'Heure par heure'!E15-N('Heure par heure'!E14))</f>
        <v/>
      </c>
      <c r="E15" s="3">
        <f>SUM(B15:D15)</f>
        <v/>
      </c>
    </row>
    <row r="16">
      <c r="A16" s="2">
        <f>'Heure par heure'!A16</f>
        <v/>
      </c>
      <c r="B16" s="3">
        <f>IF('Heure par heure'!C16="","",'Heure par heure'!C16-N('Heure par heure'!C15))</f>
        <v/>
      </c>
      <c r="C16" s="3">
        <f>IF('Heure par heure'!D16="","",'Heure par heure'!D16-N('Heure par heure'!D15))</f>
        <v/>
      </c>
      <c r="D16" s="3">
        <f>IF('Heure par heure'!E16="","",'Heure par heure'!E16-N('Heure par heure'!E15))</f>
        <v/>
      </c>
      <c r="E16" s="3">
        <f>SUM(B16:D16)</f>
        <v/>
      </c>
    </row>
    <row r="17">
      <c r="A17" s="2">
        <f>'Heure par heure'!A17</f>
        <v/>
      </c>
      <c r="B17" s="3">
        <f>IF('Heure par heure'!C17="","",'Heure par heure'!C17-N('Heure par heure'!C16))</f>
        <v/>
      </c>
      <c r="C17" s="3">
        <f>IF('Heure par heure'!D17="","",'Heure par heure'!D17-N('Heure par heure'!D16))</f>
        <v/>
      </c>
      <c r="D17" s="3">
        <f>IF('Heure par heure'!E17="","",'Heure par heure'!E17-N('Heure par heure'!E16))</f>
        <v/>
      </c>
      <c r="E17" s="3">
        <f>SUM(B17:D17)</f>
        <v/>
      </c>
    </row>
    <row r="18">
      <c r="A18" s="2">
        <f>'Heure par heure'!A18</f>
        <v/>
      </c>
      <c r="B18" s="3">
        <f>IF('Heure par heure'!C18="","",'Heure par heure'!C18-N('Heure par heure'!C17))</f>
        <v/>
      </c>
      <c r="C18" s="3">
        <f>IF('Heure par heure'!D18="","",'Heure par heure'!D18-N('Heure par heure'!D17))</f>
        <v/>
      </c>
      <c r="D18" s="3">
        <f>IF('Heure par heure'!E18="","",'Heure par heure'!E18-N('Heure par heure'!E17))</f>
        <v/>
      </c>
      <c r="E18" s="3">
        <f>SUM(B18:D18)</f>
        <v/>
      </c>
    </row>
    <row r="19">
      <c r="A19" s="2">
        <f>'Heure par heure'!A19</f>
        <v/>
      </c>
      <c r="B19" s="3">
        <f>IF('Heure par heure'!C19="","",'Heure par heure'!C19-N('Heure par heure'!C18))</f>
        <v/>
      </c>
      <c r="C19" s="3">
        <f>IF('Heure par heure'!D19="","",'Heure par heure'!D19-N('Heure par heure'!D18))</f>
        <v/>
      </c>
      <c r="D19" s="3">
        <f>IF('Heure par heure'!E19="","",'Heure par heure'!E19-N('Heure par heure'!E18))</f>
        <v/>
      </c>
      <c r="E19" s="3">
        <f>SUM(B19:D19)</f>
        <v/>
      </c>
    </row>
    <row r="20">
      <c r="A20" s="2">
        <f>'Heure par heure'!A20</f>
        <v/>
      </c>
      <c r="B20" s="3">
        <f>IF('Heure par heure'!C20="","",'Heure par heure'!C20-N('Heure par heure'!C19))</f>
        <v/>
      </c>
      <c r="C20" s="3">
        <f>IF('Heure par heure'!D20="","",'Heure par heure'!D20-N('Heure par heure'!D19))</f>
        <v/>
      </c>
      <c r="D20" s="3">
        <f>IF('Heure par heure'!E20="","",'Heure par heure'!E20-N('Heure par heure'!E19))</f>
        <v/>
      </c>
      <c r="E20" s="3">
        <f>SUM(B20:D20)</f>
        <v/>
      </c>
    </row>
    <row r="21">
      <c r="A21" s="2">
        <f>'Heure par heure'!A21</f>
        <v/>
      </c>
      <c r="B21" s="3">
        <f>IF('Heure par heure'!C21="","",'Heure par heure'!C21-N('Heure par heure'!C20))</f>
        <v/>
      </c>
      <c r="C21" s="3">
        <f>IF('Heure par heure'!D21="","",'Heure par heure'!D21-N('Heure par heure'!D20))</f>
        <v/>
      </c>
      <c r="D21" s="3">
        <f>IF('Heure par heure'!E21="","",'Heure par heure'!E21-N('Heure par heure'!E20))</f>
        <v/>
      </c>
      <c r="E21" s="3">
        <f>SUM(B21:D21)</f>
        <v/>
      </c>
    </row>
    <row r="22">
      <c r="A22" s="2">
        <f>'Heure par heure'!A22</f>
        <v/>
      </c>
      <c r="B22" s="3">
        <f>IF('Heure par heure'!C22="","",'Heure par heure'!C22-N('Heure par heure'!C21))</f>
        <v/>
      </c>
      <c r="C22" s="3">
        <f>IF('Heure par heure'!D22="","",'Heure par heure'!D22-N('Heure par heure'!D21))</f>
        <v/>
      </c>
      <c r="D22" s="3">
        <f>IF('Heure par heure'!E22="","",'Heure par heure'!E22-N('Heure par heure'!E21))</f>
        <v/>
      </c>
      <c r="E22" s="3">
        <f>SUM(B22:D22)</f>
        <v/>
      </c>
    </row>
    <row r="23">
      <c r="A23" s="2">
        <f>'Heure par heure'!A23</f>
        <v/>
      </c>
      <c r="B23" s="3">
        <f>IF('Heure par heure'!C23="","",'Heure par heure'!C23-N('Heure par heure'!C22))</f>
        <v/>
      </c>
      <c r="C23" s="3">
        <f>IF('Heure par heure'!D23="","",'Heure par heure'!D23-N('Heure par heure'!D22))</f>
        <v/>
      </c>
      <c r="D23" s="3">
        <f>IF('Heure par heure'!E23="","",'Heure par heure'!E23-N('Heure par heure'!E22))</f>
        <v/>
      </c>
      <c r="E23" s="3">
        <f>SUM(B23:D23)</f>
        <v/>
      </c>
    </row>
    <row r="24">
      <c r="A24" s="2">
        <f>'Heure par heure'!A24</f>
        <v/>
      </c>
      <c r="B24" s="3">
        <f>IF('Heure par heure'!C24="","",'Heure par heure'!C24-N('Heure par heure'!C23))</f>
        <v/>
      </c>
      <c r="C24" s="3">
        <f>IF('Heure par heure'!D24="","",'Heure par heure'!D24-N('Heure par heure'!D23))</f>
        <v/>
      </c>
      <c r="D24" s="3">
        <f>IF('Heure par heure'!E24="","",'Heure par heure'!E24-N('Heure par heure'!E23))</f>
        <v/>
      </c>
      <c r="E24" s="3">
        <f>SUM(B24:D24)</f>
        <v/>
      </c>
    </row>
    <row r="25">
      <c r="A25" s="2">
        <f>'Heure par heure'!A25</f>
        <v/>
      </c>
      <c r="B25" s="3">
        <f>IF('Heure par heure'!C25="","",'Heure par heure'!C25-N('Heure par heure'!C24))</f>
        <v/>
      </c>
      <c r="C25" s="3">
        <f>IF('Heure par heure'!D25="","",'Heure par heure'!D25-N('Heure par heure'!D24))</f>
        <v/>
      </c>
      <c r="D25" s="3">
        <f>IF('Heure par heure'!E25="","",'Heure par heure'!E25-N('Heure par heure'!E24))</f>
        <v/>
      </c>
      <c r="E25" s="3">
        <f>SUM(B25:D25)</f>
        <v/>
      </c>
    </row>
    <row r="26">
      <c r="A26" s="2">
        <f>'Heure par heure'!A26</f>
        <v/>
      </c>
      <c r="B26" s="3">
        <f>IF('Heure par heure'!C26="","",'Heure par heure'!C26-N('Heure par heure'!C25))</f>
        <v/>
      </c>
      <c r="C26" s="3">
        <f>IF('Heure par heure'!D26="","",'Heure par heure'!D26-N('Heure par heure'!D25))</f>
        <v/>
      </c>
      <c r="D26" s="3">
        <f>IF('Heure par heure'!E26="","",'Heure par heure'!E26-N('Heure par heure'!E25))</f>
        <v/>
      </c>
      <c r="E26" s="3">
        <f>SUM(B26:D26)</f>
        <v/>
      </c>
    </row>
    <row r="27">
      <c r="A27" s="2">
        <f>'Heure par heure'!A27</f>
        <v/>
      </c>
      <c r="B27" s="3">
        <f>IF('Heure par heure'!C27="","",'Heure par heure'!C27-N('Heure par heure'!C26))</f>
        <v/>
      </c>
      <c r="C27" s="3">
        <f>IF('Heure par heure'!D27="","",'Heure par heure'!D27-N('Heure par heure'!D26))</f>
        <v/>
      </c>
      <c r="D27" s="3">
        <f>IF('Heure par heure'!E27="","",'Heure par heure'!E27-N('Heure par heure'!E26))</f>
        <v/>
      </c>
      <c r="E27" s="3">
        <f>SUM(B27:D27)</f>
        <v/>
      </c>
    </row>
    <row r="28">
      <c r="A28" s="2">
        <f>'Heure par heure'!A28</f>
        <v/>
      </c>
      <c r="B28" s="3">
        <f>IF('Heure par heure'!C28="","",'Heure par heure'!C28-N('Heure par heure'!C27))</f>
        <v/>
      </c>
      <c r="C28" s="3">
        <f>IF('Heure par heure'!D28="","",'Heure par heure'!D28-N('Heure par heure'!D27))</f>
        <v/>
      </c>
      <c r="D28" s="3">
        <f>IF('Heure par heure'!E28="","",'Heure par heure'!E28-N('Heure par heure'!E27))</f>
        <v/>
      </c>
      <c r="E28" s="3">
        <f>SUM(B28:D28)</f>
        <v/>
      </c>
    </row>
    <row r="29">
      <c r="A29" s="2">
        <f>'Heure par heure'!A29</f>
        <v/>
      </c>
      <c r="B29" s="3">
        <f>IF('Heure par heure'!C29="","",'Heure par heure'!C29-N('Heure par heure'!C28))</f>
        <v/>
      </c>
      <c r="C29" s="3">
        <f>IF('Heure par heure'!D29="","",'Heure par heure'!D29-N('Heure par heure'!D28))</f>
        <v/>
      </c>
      <c r="D29" s="3">
        <f>IF('Heure par heure'!E29="","",'Heure par heure'!E29-N('Heure par heure'!E28))</f>
        <v/>
      </c>
      <c r="E29" s="3">
        <f>SUM(B29:D29)</f>
        <v/>
      </c>
    </row>
    <row r="30">
      <c r="A30" s="2">
        <f>'Heure par heure'!A30</f>
        <v/>
      </c>
      <c r="B30" s="3">
        <f>IF('Heure par heure'!C30="","",'Heure par heure'!C30-N('Heure par heure'!C29))</f>
        <v/>
      </c>
      <c r="C30" s="3">
        <f>IF('Heure par heure'!D30="","",'Heure par heure'!D30-N('Heure par heure'!D29))</f>
        <v/>
      </c>
      <c r="D30" s="3">
        <f>IF('Heure par heure'!E30="","",'Heure par heure'!E30-N('Heure par heure'!E29))</f>
        <v/>
      </c>
      <c r="E30" s="3">
        <f>SUM(B30:D30)</f>
        <v/>
      </c>
    </row>
    <row r="31">
      <c r="A31" s="2">
        <f>'Heure par heure'!A31</f>
        <v/>
      </c>
      <c r="B31" s="3">
        <f>IF('Heure par heure'!C31="","",'Heure par heure'!C31-N('Heure par heure'!C30))</f>
        <v/>
      </c>
      <c r="C31" s="3">
        <f>IF('Heure par heure'!D31="","",'Heure par heure'!D31-N('Heure par heure'!D30))</f>
        <v/>
      </c>
      <c r="D31" s="3">
        <f>IF('Heure par heure'!E31="","",'Heure par heure'!E31-N('Heure par heure'!E30))</f>
        <v/>
      </c>
      <c r="E31" s="3">
        <f>SUM(B31:D31)</f>
        <v/>
      </c>
    </row>
    <row r="32">
      <c r="A32" s="2">
        <f>'Heure par heure'!A32</f>
        <v/>
      </c>
      <c r="B32" s="3">
        <f>IF('Heure par heure'!C32="","",'Heure par heure'!C32-N('Heure par heure'!C31))</f>
        <v/>
      </c>
      <c r="C32" s="3">
        <f>IF('Heure par heure'!D32="","",'Heure par heure'!D32-N('Heure par heure'!D31))</f>
        <v/>
      </c>
      <c r="D32" s="3">
        <f>IF('Heure par heure'!E32="","",'Heure par heure'!E32-N('Heure par heure'!E31))</f>
        <v/>
      </c>
      <c r="E32" s="3">
        <f>SUM(B32:D32)</f>
        <v/>
      </c>
    </row>
    <row r="33">
      <c r="A33" s="2">
        <f>'Heure par heure'!A33</f>
        <v/>
      </c>
      <c r="B33" s="3">
        <f>IF('Heure par heure'!C33="","",'Heure par heure'!C33-N('Heure par heure'!C32))</f>
        <v/>
      </c>
      <c r="C33" s="3">
        <f>IF('Heure par heure'!D33="","",'Heure par heure'!D33-N('Heure par heure'!D32))</f>
        <v/>
      </c>
      <c r="D33" s="3">
        <f>IF('Heure par heure'!E33="","",'Heure par heure'!E33-N('Heure par heure'!E32))</f>
        <v/>
      </c>
      <c r="E33" s="3">
        <f>SUM(B33:D33)</f>
        <v/>
      </c>
    </row>
    <row r="34">
      <c r="A34" s="2">
        <f>'Heure par heure'!A34</f>
        <v/>
      </c>
      <c r="B34" s="3">
        <f>IF('Heure par heure'!C34="","",'Heure par heure'!C34-N('Heure par heure'!C33))</f>
        <v/>
      </c>
      <c r="C34" s="3">
        <f>IF('Heure par heure'!D34="","",'Heure par heure'!D34-N('Heure par heure'!D33))</f>
        <v/>
      </c>
      <c r="D34" s="3">
        <f>IF('Heure par heure'!E34="","",'Heure par heure'!E34-N('Heure par heure'!E33))</f>
        <v/>
      </c>
      <c r="E34" s="3">
        <f>SUM(B34:D34)</f>
        <v/>
      </c>
    </row>
    <row r="35">
      <c r="A35" s="2">
        <f>'Heure par heure'!A35</f>
        <v/>
      </c>
      <c r="B35" s="3">
        <f>IF('Heure par heure'!C35="","",'Heure par heure'!C35-N('Heure par heure'!C34))</f>
        <v/>
      </c>
      <c r="C35" s="3">
        <f>IF('Heure par heure'!D35="","",'Heure par heure'!D35-N('Heure par heure'!D34))</f>
        <v/>
      </c>
      <c r="D35" s="3">
        <f>IF('Heure par heure'!E35="","",'Heure par heure'!E35-N('Heure par heure'!E34))</f>
        <v/>
      </c>
      <c r="E35" s="3">
        <f>SUM(B35:D35)</f>
        <v/>
      </c>
    </row>
    <row r="36">
      <c r="A36" s="2">
        <f>'Heure par heure'!A36</f>
        <v/>
      </c>
      <c r="B36" s="3">
        <f>IF('Heure par heure'!C36="","",'Heure par heure'!C36-N('Heure par heure'!C35))</f>
        <v/>
      </c>
      <c r="C36" s="3">
        <f>IF('Heure par heure'!D36="","",'Heure par heure'!D36-N('Heure par heure'!D35))</f>
        <v/>
      </c>
      <c r="D36" s="3">
        <f>IF('Heure par heure'!E36="","",'Heure par heure'!E36-N('Heure par heure'!E35))</f>
        <v/>
      </c>
      <c r="E36" s="3">
        <f>SUM(B36:D36)</f>
        <v/>
      </c>
    </row>
    <row r="37">
      <c r="A37" s="2">
        <f>'Heure par heure'!A37</f>
        <v/>
      </c>
      <c r="B37" s="3">
        <f>IF('Heure par heure'!C37="","",'Heure par heure'!C37-N('Heure par heure'!C36))</f>
        <v/>
      </c>
      <c r="C37" s="3">
        <f>IF('Heure par heure'!D37="","",'Heure par heure'!D37-N('Heure par heure'!D36))</f>
        <v/>
      </c>
      <c r="D37" s="3">
        <f>IF('Heure par heure'!E37="","",'Heure par heure'!E37-N('Heure par heure'!E36))</f>
        <v/>
      </c>
      <c r="E37" s="3">
        <f>SUM(B37:D37)</f>
        <v/>
      </c>
    </row>
    <row r="38">
      <c r="A38" s="2">
        <f>'Heure par heure'!A38</f>
        <v/>
      </c>
      <c r="B38" s="3">
        <f>IF('Heure par heure'!C38="","",'Heure par heure'!C38-N('Heure par heure'!C37))</f>
        <v/>
      </c>
      <c r="C38" s="3">
        <f>IF('Heure par heure'!D38="","",'Heure par heure'!D38-N('Heure par heure'!D37))</f>
        <v/>
      </c>
      <c r="D38" s="3">
        <f>IF('Heure par heure'!E38="","",'Heure par heure'!E38-N('Heure par heure'!E37))</f>
        <v/>
      </c>
      <c r="E38" s="3">
        <f>SUM(B38:D38)</f>
        <v/>
      </c>
    </row>
    <row r="39">
      <c r="A39" s="2">
        <f>'Heure par heure'!A39</f>
        <v/>
      </c>
      <c r="B39" s="3">
        <f>IF('Heure par heure'!C39="","",'Heure par heure'!C39-N('Heure par heure'!C38))</f>
        <v/>
      </c>
      <c r="C39" s="3">
        <f>IF('Heure par heure'!D39="","",'Heure par heure'!D39-N('Heure par heure'!D38))</f>
        <v/>
      </c>
      <c r="D39" s="3">
        <f>IF('Heure par heure'!E39="","",'Heure par heure'!E39-N('Heure par heure'!E38))</f>
        <v/>
      </c>
      <c r="E39" s="3">
        <f>SUM(B39:D39)</f>
        <v/>
      </c>
    </row>
    <row r="40">
      <c r="A40" s="2">
        <f>'Heure par heure'!A40</f>
        <v/>
      </c>
      <c r="B40" s="3">
        <f>IF('Heure par heure'!C40="","",'Heure par heure'!C40-N('Heure par heure'!C39))</f>
        <v/>
      </c>
      <c r="C40" s="3">
        <f>IF('Heure par heure'!D40="","",'Heure par heure'!D40-N('Heure par heure'!D39))</f>
        <v/>
      </c>
      <c r="D40" s="3">
        <f>IF('Heure par heure'!E40="","",'Heure par heure'!E40-N('Heure par heure'!E39))</f>
        <v/>
      </c>
      <c r="E40" s="3">
        <f>SUM(B40:D40)</f>
        <v/>
      </c>
    </row>
    <row r="41">
      <c r="A41" s="2">
        <f>'Heure par heure'!A41</f>
        <v/>
      </c>
      <c r="B41" s="3">
        <f>IF('Heure par heure'!C41="","",'Heure par heure'!C41-N('Heure par heure'!C40))</f>
        <v/>
      </c>
      <c r="C41" s="3">
        <f>IF('Heure par heure'!D41="","",'Heure par heure'!D41-N('Heure par heure'!D40))</f>
        <v/>
      </c>
      <c r="D41" s="3">
        <f>IF('Heure par heure'!E41="","",'Heure par heure'!E41-N('Heure par heure'!E40))</f>
        <v/>
      </c>
      <c r="E41" s="3">
        <f>SUM(B41:D41)</f>
        <v/>
      </c>
    </row>
    <row r="42">
      <c r="A42" s="2">
        <f>'Heure par heure'!A42</f>
        <v/>
      </c>
      <c r="B42" s="3">
        <f>IF('Heure par heure'!C42="","",'Heure par heure'!C42-N('Heure par heure'!C41))</f>
        <v/>
      </c>
      <c r="C42" s="3">
        <f>IF('Heure par heure'!D42="","",'Heure par heure'!D42-N('Heure par heure'!D41))</f>
        <v/>
      </c>
      <c r="D42" s="3">
        <f>IF('Heure par heure'!E42="","",'Heure par heure'!E42-N('Heure par heure'!E41))</f>
        <v/>
      </c>
      <c r="E42" s="3">
        <f>SUM(B42:D42)</f>
        <v/>
      </c>
    </row>
    <row r="43">
      <c r="A43" s="2">
        <f>'Heure par heure'!A43</f>
        <v/>
      </c>
      <c r="B43" s="3">
        <f>IF('Heure par heure'!C43="","",'Heure par heure'!C43-N('Heure par heure'!C42))</f>
        <v/>
      </c>
      <c r="C43" s="3">
        <f>IF('Heure par heure'!D43="","",'Heure par heure'!D43-N('Heure par heure'!D42))</f>
        <v/>
      </c>
      <c r="D43" s="3">
        <f>IF('Heure par heure'!E43="","",'Heure par heure'!E43-N('Heure par heure'!E42))</f>
        <v/>
      </c>
      <c r="E43" s="3">
        <f>SUM(B43:D43)</f>
        <v/>
      </c>
    </row>
    <row r="44">
      <c r="A44" s="2">
        <f>'Heure par heure'!A44</f>
        <v/>
      </c>
      <c r="B44" s="3">
        <f>IF('Heure par heure'!C44="","",'Heure par heure'!C44-N('Heure par heure'!C43))</f>
        <v/>
      </c>
      <c r="C44" s="3">
        <f>IF('Heure par heure'!D44="","",'Heure par heure'!D44-N('Heure par heure'!D43))</f>
        <v/>
      </c>
      <c r="D44" s="3">
        <f>IF('Heure par heure'!E44="","",'Heure par heure'!E44-N('Heure par heure'!E43))</f>
        <v/>
      </c>
      <c r="E44" s="3">
        <f>SUM(B44:D44)</f>
        <v/>
      </c>
    </row>
    <row r="45">
      <c r="A45" s="2">
        <f>'Heure par heure'!A45</f>
        <v/>
      </c>
      <c r="B45" s="3">
        <f>IF('Heure par heure'!C45="","",'Heure par heure'!C45-N('Heure par heure'!C44))</f>
        <v/>
      </c>
      <c r="C45" s="3">
        <f>IF('Heure par heure'!D45="","",'Heure par heure'!D45-N('Heure par heure'!D44))</f>
        <v/>
      </c>
      <c r="D45" s="3">
        <f>IF('Heure par heure'!E45="","",'Heure par heure'!E45-N('Heure par heure'!E44))</f>
        <v/>
      </c>
      <c r="E45" s="3">
        <f>SUM(B45:D45)</f>
        <v/>
      </c>
    </row>
    <row r="46">
      <c r="A46" s="2">
        <f>'Heure par heure'!A46</f>
        <v/>
      </c>
      <c r="B46" s="3">
        <f>IF('Heure par heure'!C46="","",'Heure par heure'!C46-N('Heure par heure'!C45))</f>
        <v/>
      </c>
      <c r="C46" s="3">
        <f>IF('Heure par heure'!D46="","",'Heure par heure'!D46-N('Heure par heure'!D45))</f>
        <v/>
      </c>
      <c r="D46" s="3">
        <f>IF('Heure par heure'!E46="","",'Heure par heure'!E46-N('Heure par heure'!E45))</f>
        <v/>
      </c>
      <c r="E46" s="3">
        <f>SUM(B46:D46)</f>
        <v/>
      </c>
    </row>
    <row r="47">
      <c r="A47" s="2">
        <f>'Heure par heure'!A47</f>
        <v/>
      </c>
      <c r="B47" s="3">
        <f>IF('Heure par heure'!C47="","",'Heure par heure'!C47-N('Heure par heure'!C46))</f>
        <v/>
      </c>
      <c r="C47" s="3">
        <f>IF('Heure par heure'!D47="","",'Heure par heure'!D47-N('Heure par heure'!D46))</f>
        <v/>
      </c>
      <c r="D47" s="3">
        <f>IF('Heure par heure'!E47="","",'Heure par heure'!E47-N('Heure par heure'!E46))</f>
        <v/>
      </c>
      <c r="E47" s="3">
        <f>SUM(B47:D47)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 ht="32" customHeight="1">
      <c r="A1" s="1" t="inlineStr">
        <is>
          <t>Publiée le</t>
        </is>
      </c>
      <c r="B1" s="1" t="inlineStr">
        <is>
          <t>Vues</t>
        </is>
      </c>
      <c r="C1" s="1" t="inlineStr">
        <is>
          <t>Comptes touchés</t>
        </is>
      </c>
      <c r="D1" s="1" t="inlineStr">
        <is>
          <t>Réponses</t>
        </is>
      </c>
      <c r="E1" s="1" t="inlineStr">
        <is>
          <t>Partages</t>
        </is>
      </c>
      <c r="F1" s="1" t="inlineStr">
        <is>
          <t>Abonnements</t>
        </is>
      </c>
      <c r="G1" s="1" t="inlineStr">
        <is>
          <t>Visites du profil</t>
        </is>
      </c>
      <c r="H1" s="1" t="inlineStr">
        <is>
          <t>Interactions</t>
        </is>
      </c>
      <c r="I1" s="1" t="inlineStr">
        <is>
          <t>Lien</t>
        </is>
      </c>
    </row>
    <row r="2">
      <c r="A2" s="2" t="inlineStr">
        <is>
          <t>2026-10-27 07:10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inlineStr">
        <is>
          <t>ouvrir</t>
        </is>
      </c>
    </row>
    <row r="3">
      <c r="A3" s="2" t="inlineStr">
        <is>
          <t>2026-10-27 07:12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inlineStr">
        <is>
          <t>ouvrir</t>
        </is>
      </c>
    </row>
    <row r="4">
      <c r="A4" s="2" t="inlineStr">
        <is>
          <t>2026-10-27 07:15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inlineStr">
        <is>
          <t>ouvrir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  <drawing xmlns:r="http://schemas.openxmlformats.org/officeDocument/2006/relationships" r:id="rId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Décodé · suivi du compte Décodé - l'éco simplement</t>
        </is>
      </c>
    </row>
    <row r="2">
      <c r="A2" s="8" t="inlineStr">
        <is>
          <t>Mis à jour automatiquement par l'agent 3 à chaque relevé (9 h et 16 h, heure de Paris).</t>
        </is>
      </c>
    </row>
    <row r="3">
      <c r="A3" s="8" t="inlineStr">
        <is>
          <t>Source : API Instagram (insights). Les vues et partages sont cumulés depuis la publication.</t>
        </is>
      </c>
    </row>
    <row r="4">
      <c r="A4" s="8" t="inlineStr">
        <is>
          <t>« Abonnés gagnés » et « Vues du jour » = différence avec le relevé de la veille (formules).</t>
        </is>
      </c>
    </row>
    <row r="5">
      <c r="A5" s="8" t="inlineStr">
        <is>
          <t>« Vues du jour par vidéo » = vues gagnées par chaque vidéo depuis le relevé de la veille.</t>
        </is>
      </c>
    </row>
    <row r="6">
      <c r="A6" s="8" t="inlineStr">
        <is>
          <t>« Heure par heure » : relevé toutes les heures de 7 h à 23 h (Paris) ; le relevé de 7 h inclut la nuit.</t>
        </is>
      </c>
    </row>
    <row r="7">
      <c r="A7" s="8" t="inlineStr">
        <is>
          <t>Taux d'engagement = (likes + commentaires + partages + enregistrements) / comptes touchés.</t>
        </is>
      </c>
    </row>
    <row r="8">
      <c r="A8" s="8" t="inlineStr">
        <is>
          <t>Les statistiques d'une story ne sont lisibles que pendant ses 24 h : dernier relevé conservé.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2026-10-28T08:44:59Z</dcterms:created>
  <dcterms:modified xsi:type="dcterms:W3CDTF">2026-10-28T08:44:59Z</dcterms:modified>
</cp:coreProperties>
</file>