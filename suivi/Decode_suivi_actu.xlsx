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jour'!$A$2:$A$13</f>
            </numRef>
          </cat>
          <val>
            <numRef>
              <f>'Jour par jour'!$B$2:$B$13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jour'!$A$2:$A$13</f>
            </numRef>
          </cat>
          <val>
            <numRef>
              <f>'Jour par jour'!$E$2:$E$13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jour'!$A$2:$A$13</f>
            </numRef>
          </cat>
          <val>
            <numRef>
              <f>'Jour par jour'!$L$2:$L$13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jour'!$A$2:$A$13</f>
            </numRef>
          </cat>
          <val>
            <numRef>
              <f>'Jour par jour'!$F$2:$F$13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jour'!$A$2:$A$13</f>
            </numRef>
          </cat>
          <val>
            <numRef>
              <f>'Jour par jour'!$H$2:$H$13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jour'!$A$2:$A$13</f>
            </numRef>
          </cat>
          <val>
            <numRef>
              <f>'Jour par jour'!$C$2:$C$13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vidéo'!$B$2:$B$13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vidéo'!$C$2:$C$13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vidéo'!$D$2:$D$13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vidéo'!$E$2:$E$13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vidéo'!$F$2:$F$13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vidéo'!$G$2:$G$13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vidéo'!$H$2:$H$13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vidéo'!$I$2:$I$13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vidéo'!$J$2:$J$13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vidéo'!$K$2:$K$13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vidéo'!$L$2:$L$13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vidéo'!$M$2:$M$13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vidéo'!$N$2:$N$13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vidéo'!$O$2:$O$13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vidéo'!$P$2:$P$13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vidéo'!$B$2:$B$13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vidéo'!$C$2:$C$13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vidéo'!$D$2:$D$13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vidéo'!$E$2:$E$13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vidéo'!$F$2:$F$13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vidéo'!$G$2:$G$13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vidéo'!$H$2:$H$13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vidéo'!$I$2:$I$13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vidéo'!$J$2:$J$13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vidéo'!$K$2:$K$13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vidéo'!$L$2:$L$13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vidéo'!$M$2:$M$13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vidéo'!$N$2:$N$13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vidéo'!$O$2:$O$13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vidéo'!$P$2:$P$13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heure'!$A$2:$A$81</f>
            </numRef>
          </cat>
          <val>
            <numRef>
              <f>'Heure par heure'!$C$2:$C$81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heure'!$A$2:$A$81</f>
            </numRef>
          </cat>
          <val>
            <numRef>
              <f>'Heure par heure'!$D$2:$D$81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heure'!$A$2:$A$81</f>
            </numRef>
          </cat>
          <val>
            <numRef>
              <f>'Heure par heure'!$E$2:$E$81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heure'!$A$2:$A$81</f>
            </numRef>
          </cat>
          <val>
            <numRef>
              <f>'Heure par heure'!$F$2:$F$81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heure'!$A$2:$A$81</f>
            </numRef>
          </cat>
          <val>
            <numRef>
              <f>'Heure par heure'!$G$2:$G$81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heure'!$A$2:$A$81</f>
            </numRef>
          </cat>
          <val>
            <numRef>
              <f>'Heure par heure'!$H$2:$H$81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heure'!$A$2:$A$81</f>
            </numRef>
          </cat>
          <val>
            <numRef>
              <f>'Heure par heure'!$I$2:$I$81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heure'!$A$2:$A$81</f>
            </numRef>
          </cat>
          <val>
            <numRef>
              <f>'Heure par heure'!$J$2:$J$81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heure'!$A$2:$A$81</f>
            </numRef>
          </cat>
          <val>
            <numRef>
              <f>'Heure par heure'!$K$2:$K$81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heure'!$A$2:$A$81</f>
            </numRef>
          </cat>
          <val>
            <numRef>
              <f>'Heure par heure'!$L$2:$L$81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heure'!$A$2:$A$81</f>
            </numRef>
          </cat>
          <val>
            <numRef>
              <f>'Heure par heure'!$B$2:$B$81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heure'!$A$2:$A$81</f>
            </numRef>
          </cat>
          <val>
            <numRef>
              <f>'Heure par heure'!$M$2:$M$81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heure'!$A$2:$A$81</f>
            </numRef>
          </cat>
          <val>
            <numRef>
              <f>'Vues gagnées par heure'!$B$2:$B$81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heure'!$A$2:$A$81</f>
            </numRef>
          </cat>
          <val>
            <numRef>
              <f>'Vues gagnées par heure'!$C$2:$C$81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heure'!$A$2:$A$81</f>
            </numRef>
          </cat>
          <val>
            <numRef>
              <f>'Vues gagnées par heure'!$D$2:$D$81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heure'!$A$2:$A$81</f>
            </numRef>
          </cat>
          <val>
            <numRef>
              <f>'Vues gagnées par heure'!$E$2:$E$81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heure'!$A$2:$A$81</f>
            </numRef>
          </cat>
          <val>
            <numRef>
              <f>'Vues gagnées par heure'!$F$2:$F$81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heure'!$A$2:$A$81</f>
            </numRef>
          </cat>
          <val>
            <numRef>
              <f>'Vues gagnées par heure'!$G$2:$G$81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heure'!$A$2:$A$81</f>
            </numRef>
          </cat>
          <val>
            <numRef>
              <f>'Vues gagnées par heure'!$H$2:$H$81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heure'!$A$2:$A$81</f>
            </numRef>
          </cat>
          <val>
            <numRef>
              <f>'Vues gagnées par heure'!$I$2:$I$81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heure'!$A$2:$A$81</f>
            </numRef>
          </cat>
          <val>
            <numRef>
              <f>'Vues gagnées par heure'!$J$2:$J$81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heure'!$A$2:$A$81</f>
            </numRef>
          </cat>
          <val>
            <numRef>
              <f>'Vues gagnées par heure'!$K$2:$K$81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'Stories'!$A$2:$A$50</f>
            </numRef>
          </cat>
          <val>
            <numRef>
              <f>'Stories'!$B$2:$B$50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83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100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100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83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r2bYjllOT/" TargetMode="External" Id="rId1" /><Relationship Type="http://schemas.openxmlformats.org/officeDocument/2006/relationships/hyperlink" Target="https://www.instagram.com/reel/DetoG3RDRGR/" TargetMode="External" Id="rId2" /><Relationship Type="http://schemas.openxmlformats.org/officeDocument/2006/relationships/hyperlink" Target="https://www.instagram.com/reel/DeuORmrje2X/" TargetMode="External" Id="rId3" /><Relationship Type="http://schemas.openxmlformats.org/officeDocument/2006/relationships/hyperlink" Target="https://www.instagram.com/reel/Dev7vAwiHPF/" TargetMode="External" Id="rId4" /><Relationship Type="http://schemas.openxmlformats.org/officeDocument/2006/relationships/hyperlink" Target="https://www.instagram.com/reel/DewXqdggjen/" TargetMode="External" Id="rId5" /><Relationship Type="http://schemas.openxmlformats.org/officeDocument/2006/relationships/hyperlink" Target="https://www.instagram.com/reel/DewzPEDkwDC/" TargetMode="External" Id="rId6" /><Relationship Type="http://schemas.openxmlformats.org/officeDocument/2006/relationships/hyperlink" Target="https://www.instagram.com/reel/Dey8pqJjxZe/" TargetMode="External" Id="rId7" /><Relationship Type="http://schemas.openxmlformats.org/officeDocument/2006/relationships/hyperlink" Target="https://www.instagram.com/reel/De4IrjoAfMV/" TargetMode="External" Id="rId8" /><Relationship Type="http://schemas.openxmlformats.org/officeDocument/2006/relationships/hyperlink" Target="https://www.instagram.com/reel/De4SjlaiLAP/" TargetMode="External" Id="rId9" /><Relationship Type="http://schemas.openxmlformats.org/officeDocument/2006/relationships/hyperlink" Target="https://www.instagram.com/reel/De4wFkgEjfv/" TargetMode="External" Id="rId10" /><Relationship Type="http://schemas.openxmlformats.org/officeDocument/2006/relationships/hyperlink" Target="https://www.instagram.com/reel/De63hUGjyxb/" TargetMode="External" Id="rId11" /><Relationship Type="http://schemas.openxmlformats.org/officeDocument/2006/relationships/hyperlink" Target="https://www.instagram.com/reel/De63r8EkQ6Y/" TargetMode="External" Id="rId12" /><Relationship Type="http://schemas.openxmlformats.org/officeDocument/2006/relationships/hyperlink" Target="https://www.instagram.com/reel/De7PS5wCqiN/" TargetMode="External" Id="rId13" /><Relationship Type="http://schemas.openxmlformats.org/officeDocument/2006/relationships/hyperlink" Target="https://www.instagram.com/reel/De_SOGKACX-/" TargetMode="External" Id="rId14" /><Relationship Type="http://schemas.openxmlformats.org/officeDocument/2006/relationships/hyperlink" Target="https://www.instagram.com/reel/DfEhKWcjNRz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hyperlink" Target="https://www.instagram.com/stories/decodeactu/4018414123239118308" TargetMode="External" Id="rId48" /><Relationship Type="http://schemas.openxmlformats.org/officeDocument/2006/relationships/hyperlink" Target="https://www.instagram.com/stories/decodeactu/4018483103425556840" TargetMode="External" Id="rId49" /><Relationship Type="http://schemas.openxmlformats.org/officeDocument/2006/relationships/drawing" Target="/xl/drawings/drawing7.xml" Id="rId5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1</v>
      </c>
      <c r="M11" s="3" t="n">
        <v>1</v>
      </c>
    </row>
    <row r="12">
      <c r="A12" s="2" t="inlineStr">
        <is>
          <t>2026-10-28</t>
        </is>
      </c>
      <c r="B12" s="3" t="n">
        <v>7</v>
      </c>
      <c r="C12" s="3">
        <f>IF(ROW()=2,"",B12-B11)</f>
        <v/>
      </c>
      <c r="D12" s="3" t="n">
        <v>1859</v>
      </c>
      <c r="E12" s="3">
        <f>IF(ROW()=2,D12,D12-D11)</f>
        <v/>
      </c>
      <c r="F12" s="3" t="n">
        <v>100</v>
      </c>
      <c r="G12" s="3" t="n">
        <v>110</v>
      </c>
      <c r="H12" s="3" t="n">
        <v>1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  <row r="13">
      <c r="A13" s="2" t="inlineStr">
        <is>
          <t>2026-10-29</t>
        </is>
      </c>
      <c r="B13" s="3" t="n">
        <v>7</v>
      </c>
      <c r="C13" s="3">
        <f>IF(ROW()=2,"",B13-B12)</f>
        <v/>
      </c>
      <c r="D13" s="3" t="n">
        <v>1748</v>
      </c>
      <c r="E13" s="3">
        <f>IF(ROW()=2,D13,D13-D12)</f>
        <v/>
      </c>
      <c r="F13" s="3" t="n">
        <v>1</v>
      </c>
      <c r="G13" s="3" t="n">
        <v>3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17:59</t>
        </is>
      </c>
      <c r="B2" s="2" t="inlineStr">
        <is>
          <t>📖 Il était une fois des agriculteurs en colèr</t>
        </is>
      </c>
      <c r="C2" s="4" t="inlineStr">
        <is>
          <t>ouvrir</t>
        </is>
      </c>
      <c r="D2" s="3" t="n">
        <v>79</v>
      </c>
      <c r="E2" s="3" t="n">
        <v>71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2026-10-20 10:33</t>
        </is>
      </c>
      <c r="B3" s="2" t="inlineStr">
        <is>
          <t>Couvre-feux, manifs « encadrées, voire interd</t>
        </is>
      </c>
      <c r="C3" s="4" t="inlineStr">
        <is>
          <t>ouvrir</t>
        </is>
      </c>
      <c r="D3" s="3" t="n">
        <v>158</v>
      </c>
      <c r="E3" s="3" t="n">
        <v>141</v>
      </c>
      <c r="F3" s="3" t="n">
        <v>2</v>
      </c>
      <c r="G3" s="3" t="n">
        <v>0</v>
      </c>
      <c r="H3" s="3" t="n">
        <v>0</v>
      </c>
      <c r="I3" s="3" t="n">
        <v>2</v>
      </c>
      <c r="J3" s="3" t="n">
        <v>5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2026-10-20 16:07</t>
        </is>
      </c>
      <c r="B4" s="2" t="inlineStr">
        <is>
          <t>Couvre-feu pour les ados, 5,6 milliards envol</t>
        </is>
      </c>
      <c r="C4" s="4" t="inlineStr">
        <is>
          <t>ouvrir</t>
        </is>
      </c>
      <c r="D4" s="3" t="n">
        <v>108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2026-10-21 08:03</t>
        </is>
      </c>
      <c r="B5" s="2" t="inlineStr">
        <is>
          <t>Les syndicats de salariés auraient-ils dû êtr</t>
        </is>
      </c>
      <c r="C5" s="4" t="inlineStr">
        <is>
          <t>ouvrir</t>
        </is>
      </c>
      <c r="D5" s="3" t="n">
        <v>105</v>
      </c>
      <c r="E5" s="3" t="n">
        <v>87</v>
      </c>
      <c r="F5" s="3" t="n">
        <v>1</v>
      </c>
      <c r="G5" s="3" t="n">
        <v>0</v>
      </c>
      <c r="H5" s="3" t="n">
        <v>0</v>
      </c>
      <c r="I5" s="3" t="n">
        <v>0</v>
      </c>
      <c r="J5" s="3" t="n">
        <v>1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2026-10-21 12:07</t>
        </is>
      </c>
      <c r="B6" s="2" t="inlineStr">
        <is>
          <t>À toi de juger : taxer les profits du pétrole</t>
        </is>
      </c>
      <c r="C6" s="4" t="inlineStr">
        <is>
          <t>ouvrir</t>
        </is>
      </c>
      <c r="D6" s="3" t="n">
        <v>128</v>
      </c>
      <c r="E6" s="3" t="n">
        <v>106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16:08</t>
        </is>
      </c>
      <c r="B7" s="2" t="inlineStr">
        <is>
          <t>Gel des pensions : oui ou non ? Réponds en co</t>
        </is>
      </c>
      <c r="C7" s="4" t="inlineStr">
        <is>
          <t>ouvrir</t>
        </is>
      </c>
      <c r="D7" s="3" t="n">
        <v>114</v>
      </c>
      <c r="E7" s="3" t="n">
        <v>108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2026-10-22 12:09</t>
        </is>
      </c>
      <c r="B8" s="2" t="inlineStr">
        <is>
          <t>Couper les réseaux sociaux pendant les émeute</t>
        </is>
      </c>
      <c r="C8" s="4" t="inlineStr">
        <is>
          <t>ouvrir</t>
        </is>
      </c>
      <c r="D8" s="3" t="n">
        <v>76</v>
      </c>
      <c r="E8" s="3" t="n">
        <v>70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2026-10-24 12:30</t>
        </is>
      </c>
      <c r="B9" s="2" t="inlineStr">
        <is>
          <t>À toi de juger : il faut une enquête indépend</t>
        </is>
      </c>
      <c r="C9" s="4" t="inlineStr">
        <is>
          <t>ouvrir</t>
        </is>
      </c>
      <c r="D9" s="3" t="n">
        <v>133</v>
      </c>
      <c r="E9" s="3" t="n">
        <v>117</v>
      </c>
      <c r="F9" s="3" t="n">
        <v>1</v>
      </c>
      <c r="G9" s="3" t="n">
        <v>0</v>
      </c>
      <c r="H9" s="3" t="n">
        <v>0</v>
      </c>
      <c r="I9" s="3" t="n">
        <v>0</v>
      </c>
      <c r="J9" s="3" t="n">
        <v>2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2026-10-24 13:56</t>
        </is>
      </c>
      <c r="B10" s="2" t="inlineStr">
        <is>
          <t>« Oui, nous avons perdu le contrôle. » Le min</t>
        </is>
      </c>
      <c r="C10" s="4" t="inlineStr">
        <is>
          <t>ouvrir</t>
        </is>
      </c>
      <c r="D10" s="3" t="n">
        <v>244</v>
      </c>
      <c r="E10" s="3" t="n">
        <v>225</v>
      </c>
      <c r="F10" s="3" t="n">
        <v>4</v>
      </c>
      <c r="G10" s="3" t="n">
        <v>0</v>
      </c>
      <c r="H10" s="3" t="n">
        <v>0</v>
      </c>
      <c r="I10" s="3" t="n">
        <v>1</v>
      </c>
      <c r="J10" s="3" t="n">
        <v>5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18:14</t>
        </is>
      </c>
      <c r="B11" s="2" t="inlineStr">
        <is>
          <t xml:space="preserve">Cinq infos de la semaine, une même logique : </t>
        </is>
      </c>
      <c r="C11" s="4" t="inlineStr">
        <is>
          <t>ouvrir</t>
        </is>
      </c>
      <c r="D11" s="3" t="n">
        <v>134</v>
      </c>
      <c r="E11" s="3" t="n">
        <v>115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2026-10-25 13:58</t>
        </is>
      </c>
      <c r="B12" s="2" t="inlineStr">
        <is>
          <t xml:space="preserve">Des millions publics promis. 244 salariés de </t>
        </is>
      </c>
      <c r="C12" s="4" t="inlineStr">
        <is>
          <t>ouvrir</t>
        </is>
      </c>
      <c r="D12" s="3" t="n">
        <v>114</v>
      </c>
      <c r="E12" s="3" t="n">
        <v>102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2026-10-25 13:59</t>
        </is>
      </c>
      <c r="B13" s="2" t="inlineStr">
        <is>
          <t>Vendredi, Macron au concert de Céline Dion. S</t>
        </is>
      </c>
      <c r="C13" s="4" t="inlineStr">
        <is>
          <t>ouvrir</t>
        </is>
      </c>
      <c r="D13" s="3" t="n">
        <v>130</v>
      </c>
      <c r="E13" s="3" t="n">
        <v>110</v>
      </c>
      <c r="F13" s="3" t="n">
        <v>1</v>
      </c>
      <c r="G13" s="3" t="n">
        <v>0</v>
      </c>
      <c r="H13" s="3" t="n">
        <v>0</v>
      </c>
      <c r="I13" s="3" t="n">
        <v>0</v>
      </c>
      <c r="J13" s="3" t="n">
        <v>1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17:26</t>
        </is>
      </c>
      <c r="B14" s="2" t="inlineStr">
        <is>
          <t>2 513 gardes à vue et 67 incarcérations après</t>
        </is>
      </c>
      <c r="C14" s="4" t="inlineStr">
        <is>
          <t>ouvrir</t>
        </is>
      </c>
      <c r="D14" s="3" t="n">
        <v>118</v>
      </c>
      <c r="E14" s="3" t="n">
        <v>106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2026-10-27 07:08</t>
        </is>
      </c>
      <c r="B15" s="2" t="inlineStr">
        <is>
          <t xml:space="preserve">54 milliards d'efforts demandés aux Français </t>
        </is>
      </c>
      <c r="C15" s="4" t="inlineStr">
        <is>
          <t>ouvrir</t>
        </is>
      </c>
      <c r="D15" s="3" t="n">
        <v>107</v>
      </c>
      <c r="E15" s="3" t="n">
        <v>99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2026-10-29 07:55</t>
        </is>
      </c>
      <c r="B16" s="2" t="inlineStr">
        <is>
          <t xml:space="preserve">Macron demande aux branches de négocier : 52 </t>
        </is>
      </c>
      <c r="C16" s="4" t="inlineStr">
        <is>
          <t>ouvrir</t>
        </is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📖 Il était une fois des agri</t>
        </is>
      </c>
      <c r="C1" s="1" t="inlineStr">
        <is>
          <t>Couvre-feux, manifs « encadr</t>
        </is>
      </c>
      <c r="D1" s="1" t="inlineStr">
        <is>
          <t>Couvre-feu pour les ados, 5,</t>
        </is>
      </c>
      <c r="E1" s="1" t="inlineStr">
        <is>
          <t>Les syndicats de salariés au</t>
        </is>
      </c>
      <c r="F1" s="1" t="inlineStr">
        <is>
          <t>À toi de juger : taxer les p</t>
        </is>
      </c>
      <c r="G1" s="1" t="inlineStr">
        <is>
          <t>Gel des pensions : oui ou no</t>
        </is>
      </c>
      <c r="H1" s="1" t="inlineStr">
        <is>
          <t>Couper les réseaux sociaux p</t>
        </is>
      </c>
      <c r="I1" s="1" t="inlineStr">
        <is>
          <t>À toi de juger : il faut une</t>
        </is>
      </c>
      <c r="J1" s="1" t="inlineStr">
        <is>
          <t>« Oui, nous avons perdu le c</t>
        </is>
      </c>
      <c r="K1" s="1" t="inlineStr">
        <is>
          <t>Cinq infos de la semaine, un</t>
        </is>
      </c>
      <c r="L1" s="1" t="inlineStr">
        <is>
          <t>Des millions publics promis.</t>
        </is>
      </c>
      <c r="M1" s="1" t="inlineStr">
        <is>
          <t xml:space="preserve">Vendredi, Macron au concert </t>
        </is>
      </c>
      <c r="N1" s="1" t="inlineStr">
        <is>
          <t>2 513 gardes à vue et 67 inc</t>
        </is>
      </c>
      <c r="O1" s="1" t="inlineStr">
        <is>
          <t>54 milliards d'efforts deman</t>
        </is>
      </c>
      <c r="P1" s="1" t="inlineStr">
        <is>
          <t xml:space="preserve">Macron demande aux branches 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73</v>
      </c>
      <c r="C4" s="3" t="n">
        <v>63</v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79</v>
      </c>
      <c r="C5" s="3" t="n">
        <v>157</v>
      </c>
      <c r="D5" s="3" t="n">
        <v>105</v>
      </c>
      <c r="E5" s="3" t="n">
        <v>80</v>
      </c>
      <c r="F5" s="3" t="n">
        <v>69</v>
      </c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79</v>
      </c>
      <c r="C6" s="3" t="n">
        <v>158</v>
      </c>
      <c r="D6" s="3" t="n">
        <v>106</v>
      </c>
      <c r="E6" s="3" t="n">
        <v>105</v>
      </c>
      <c r="F6" s="3" t="n">
        <v>128</v>
      </c>
      <c r="G6" s="3" t="n">
        <v>113</v>
      </c>
      <c r="H6" s="3" t="n">
        <v>32</v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79</v>
      </c>
      <c r="C7" s="3" t="n">
        <v>158</v>
      </c>
      <c r="D7" s="3" t="n">
        <v>106</v>
      </c>
      <c r="E7" s="3" t="n">
        <v>105</v>
      </c>
      <c r="F7" s="3" t="n">
        <v>128</v>
      </c>
      <c r="G7" s="3" t="n">
        <v>113</v>
      </c>
      <c r="H7" s="3" t="n">
        <v>74</v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79</v>
      </c>
      <c r="C8" s="3" t="n">
        <v>158</v>
      </c>
      <c r="D8" s="3" t="n">
        <v>108</v>
      </c>
      <c r="E8" s="3" t="n">
        <v>105</v>
      </c>
      <c r="F8" s="3" t="n">
        <v>128</v>
      </c>
      <c r="G8" s="3" t="n">
        <v>114</v>
      </c>
      <c r="H8" s="3" t="n">
        <v>76</v>
      </c>
      <c r="I8" s="3" t="n">
        <v>119</v>
      </c>
      <c r="J8" s="3" t="n">
        <v>6</v>
      </c>
      <c r="K8" s="3" t="n"/>
      <c r="L8" s="3" t="n"/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79</v>
      </c>
      <c r="C9" s="3" t="n">
        <v>158</v>
      </c>
      <c r="D9" s="3" t="n">
        <v>108</v>
      </c>
      <c r="E9" s="3" t="n">
        <v>105</v>
      </c>
      <c r="F9" s="3" t="n">
        <v>128</v>
      </c>
      <c r="G9" s="3" t="n">
        <v>114</v>
      </c>
      <c r="H9" s="3" t="n">
        <v>76</v>
      </c>
      <c r="I9" s="3" t="n">
        <v>133</v>
      </c>
      <c r="J9" s="3" t="n">
        <v>241</v>
      </c>
      <c r="K9" s="3" t="n">
        <v>134</v>
      </c>
      <c r="L9" s="3" t="n">
        <v>10</v>
      </c>
      <c r="M9" s="3" t="n">
        <v>13</v>
      </c>
      <c r="N9" s="3" t="n"/>
      <c r="O9" s="3" t="n"/>
      <c r="P9" s="3" t="n"/>
    </row>
    <row r="10">
      <c r="A10" s="2" t="inlineStr">
        <is>
          <t>2026-10-26</t>
        </is>
      </c>
      <c r="B10" s="3" t="n">
        <v>79</v>
      </c>
      <c r="C10" s="3" t="n">
        <v>158</v>
      </c>
      <c r="D10" s="3" t="n">
        <v>108</v>
      </c>
      <c r="E10" s="3" t="n">
        <v>105</v>
      </c>
      <c r="F10" s="3" t="n">
        <v>128</v>
      </c>
      <c r="G10" s="3" t="n">
        <v>114</v>
      </c>
      <c r="H10" s="3" t="n">
        <v>76</v>
      </c>
      <c r="I10" s="3" t="n">
        <v>133</v>
      </c>
      <c r="J10" s="3" t="n">
        <v>244</v>
      </c>
      <c r="K10" s="3" t="n">
        <v>134</v>
      </c>
      <c r="L10" s="3" t="n">
        <v>114</v>
      </c>
      <c r="M10" s="3" t="n">
        <v>130</v>
      </c>
      <c r="N10" s="3" t="n">
        <v>117</v>
      </c>
      <c r="O10" s="3" t="n"/>
      <c r="P10" s="3" t="n"/>
    </row>
    <row r="11">
      <c r="A11" s="2" t="inlineStr">
        <is>
          <t>2026-10-27</t>
        </is>
      </c>
      <c r="B11" s="3" t="n">
        <v>79</v>
      </c>
      <c r="C11" s="3" t="n">
        <v>158</v>
      </c>
      <c r="D11" s="3" t="n">
        <v>108</v>
      </c>
      <c r="E11" s="3" t="n">
        <v>105</v>
      </c>
      <c r="F11" s="3" t="n">
        <v>128</v>
      </c>
      <c r="G11" s="3" t="n">
        <v>114</v>
      </c>
      <c r="H11" s="3" t="n">
        <v>76</v>
      </c>
      <c r="I11" s="3" t="n">
        <v>133</v>
      </c>
      <c r="J11" s="3" t="n">
        <v>244</v>
      </c>
      <c r="K11" s="3" t="n">
        <v>134</v>
      </c>
      <c r="L11" s="3" t="n">
        <v>114</v>
      </c>
      <c r="M11" s="3" t="n">
        <v>130</v>
      </c>
      <c r="N11" s="3" t="n">
        <v>118</v>
      </c>
      <c r="O11" s="3" t="n">
        <v>92</v>
      </c>
      <c r="P11" s="3" t="n"/>
    </row>
    <row r="12">
      <c r="A12" s="2" t="inlineStr">
        <is>
          <t>2026-10-28</t>
        </is>
      </c>
      <c r="B12" s="3" t="n">
        <v>79</v>
      </c>
      <c r="C12" s="3" t="n">
        <v>158</v>
      </c>
      <c r="D12" s="3" t="n">
        <v>108</v>
      </c>
      <c r="E12" s="3" t="n">
        <v>105</v>
      </c>
      <c r="F12" s="3" t="n">
        <v>128</v>
      </c>
      <c r="G12" s="3" t="n">
        <v>114</v>
      </c>
      <c r="H12" s="3" t="n">
        <v>76</v>
      </c>
      <c r="I12" s="3" t="n">
        <v>133</v>
      </c>
      <c r="J12" s="3" t="n">
        <v>244</v>
      </c>
      <c r="K12" s="3" t="n">
        <v>134</v>
      </c>
      <c r="L12" s="3" t="n">
        <v>114</v>
      </c>
      <c r="M12" s="3" t="n">
        <v>130</v>
      </c>
      <c r="N12" s="3" t="n">
        <v>118</v>
      </c>
      <c r="O12" s="3" t="n">
        <v>107</v>
      </c>
      <c r="P12" s="3" t="n"/>
    </row>
    <row r="13">
      <c r="A13" s="2" t="inlineStr">
        <is>
          <t>2026-10-29</t>
        </is>
      </c>
      <c r="B13" s="3" t="n">
        <v>79</v>
      </c>
      <c r="C13" s="3" t="n">
        <v>158</v>
      </c>
      <c r="D13" s="3" t="n">
        <v>108</v>
      </c>
      <c r="E13" s="3" t="n">
        <v>105</v>
      </c>
      <c r="F13" s="3" t="n">
        <v>128</v>
      </c>
      <c r="G13" s="3" t="n">
        <v>114</v>
      </c>
      <c r="H13" s="3" t="n">
        <v>76</v>
      </c>
      <c r="I13" s="3" t="n">
        <v>133</v>
      </c>
      <c r="J13" s="3" t="n">
        <v>244</v>
      </c>
      <c r="K13" s="3" t="n">
        <v>134</v>
      </c>
      <c r="L13" s="3" t="n">
        <v>114</v>
      </c>
      <c r="M13" s="3" t="n">
        <v>130</v>
      </c>
      <c r="N13" s="3" t="n">
        <v>118</v>
      </c>
      <c r="O13" s="3" t="n">
        <v>107</v>
      </c>
      <c r="P13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📖 Il était une fois des agri</t>
        </is>
      </c>
      <c r="C1" s="1" t="inlineStr">
        <is>
          <t>Couvre-feux, manifs « encadr</t>
        </is>
      </c>
      <c r="D1" s="1" t="inlineStr">
        <is>
          <t>Couvre-feu pour les ados, 5,</t>
        </is>
      </c>
      <c r="E1" s="1" t="inlineStr">
        <is>
          <t>Les syndicats de salariés au</t>
        </is>
      </c>
      <c r="F1" s="1" t="inlineStr">
        <is>
          <t>À toi de juger : taxer les p</t>
        </is>
      </c>
      <c r="G1" s="1" t="inlineStr">
        <is>
          <t>Gel des pensions : oui ou no</t>
        </is>
      </c>
      <c r="H1" s="1" t="inlineStr">
        <is>
          <t>Couper les réseaux sociaux p</t>
        </is>
      </c>
      <c r="I1" s="1" t="inlineStr">
        <is>
          <t>À toi de juger : il faut une</t>
        </is>
      </c>
      <c r="J1" s="1" t="inlineStr">
        <is>
          <t>« Oui, nous avons perdu le c</t>
        </is>
      </c>
      <c r="K1" s="1" t="inlineStr">
        <is>
          <t>Cinq infos de la semaine, un</t>
        </is>
      </c>
      <c r="L1" s="1" t="inlineStr">
        <is>
          <t>Des millions publics promis.</t>
        </is>
      </c>
      <c r="M1" s="1" t="inlineStr">
        <is>
          <t xml:space="preserve">Vendredi, Macron au concert </t>
        </is>
      </c>
      <c r="N1" s="1" t="inlineStr">
        <is>
          <t>2 513 gardes à vue et 67 inc</t>
        </is>
      </c>
      <c r="O1" s="1" t="inlineStr">
        <is>
          <t>54 milliards d'efforts deman</t>
        </is>
      </c>
      <c r="P1" s="1" t="inlineStr">
        <is>
          <t xml:space="preserve">Macron demande aux branches 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SUM(B11:P11)</f>
        <v/>
      </c>
    </row>
    <row r="12">
      <c r="A12" s="2" t="inlineStr">
        <is>
          <t>2026-10-28</t>
        </is>
      </c>
      <c r="B12" s="3">
        <f>IF('Évolution par vidéo'!B12="","",'Évolution par vidéo'!B12-N('Évolution par vidéo'!B11))</f>
        <v/>
      </c>
      <c r="C12" s="3">
        <f>IF('Évolution par vidéo'!C12="","",'Évolution par vidéo'!C12-N('Évolution par vidéo'!C11))</f>
        <v/>
      </c>
      <c r="D12" s="3">
        <f>IF('Évolution par vidéo'!D12="","",'Évolution par vidéo'!D12-N('Évolution par vidéo'!D11))</f>
        <v/>
      </c>
      <c r="E12" s="3">
        <f>IF('Évolution par vidéo'!E12="","",'Évolution par vidéo'!E12-N('Évolution par vidéo'!E11))</f>
        <v/>
      </c>
      <c r="F12" s="3">
        <f>IF('Évolution par vidéo'!F12="","",'Évolution par vidéo'!F12-N('Évolution par vidéo'!F11))</f>
        <v/>
      </c>
      <c r="G12" s="3">
        <f>IF('Évolution par vidéo'!G12="","",'Évolution par vidéo'!G12-N('Évolution par vidéo'!G11))</f>
        <v/>
      </c>
      <c r="H12" s="3">
        <f>IF('Évolution par vidéo'!H12="","",'Évolution par vidéo'!H12-N('Évolution par vidéo'!H11))</f>
        <v/>
      </c>
      <c r="I12" s="3">
        <f>IF('Évolution par vidéo'!I12="","",'Évolution par vidéo'!I12-N('Évolution par vidéo'!I11))</f>
        <v/>
      </c>
      <c r="J12" s="3">
        <f>IF('Évolution par vidéo'!J12="","",'Évolution par vidéo'!J12-N('Évolution par vidéo'!J11))</f>
        <v/>
      </c>
      <c r="K12" s="3">
        <f>IF('Évolution par vidéo'!K12="","",'Évolution par vidéo'!K12-N('Évolution par vidéo'!K11))</f>
        <v/>
      </c>
      <c r="L12" s="3">
        <f>IF('Évolution par vidéo'!L12="","",'Évolution par vidéo'!L12-N('Évolution par vidéo'!L11))</f>
        <v/>
      </c>
      <c r="M12" s="3">
        <f>IF('Évolution par vidéo'!M12="","",'Évolution par vidéo'!M12-N('Évolution par vidéo'!M11))</f>
        <v/>
      </c>
      <c r="N12" s="3">
        <f>IF('Évolution par vidéo'!N12="","",'Évolution par vidéo'!N12-N('Évolution par vidéo'!N11))</f>
        <v/>
      </c>
      <c r="O12" s="3">
        <f>IF('Évolution par vidéo'!O12="","",'Évolution par vidéo'!O12-N('Évolution par vidéo'!O11))</f>
        <v/>
      </c>
      <c r="P12" s="3">
        <f>IF('Évolution par vidéo'!P12="","",'Évolution par vidéo'!P12-N('Évolution par vidéo'!P11))</f>
        <v/>
      </c>
      <c r="Q12" s="3">
        <f>SUM(B12:P12)</f>
        <v/>
      </c>
    </row>
    <row r="13">
      <c r="A13" s="2" t="inlineStr">
        <is>
          <t>2026-10-29</t>
        </is>
      </c>
      <c r="B13" s="3">
        <f>IF('Évolution par vidéo'!B13="","",'Évolution par vidéo'!B13-N('Évolution par vidéo'!B12))</f>
        <v/>
      </c>
      <c r="C13" s="3">
        <f>IF('Évolution par vidéo'!C13="","",'Évolution par vidéo'!C13-N('Évolution par vidéo'!C12))</f>
        <v/>
      </c>
      <c r="D13" s="3">
        <f>IF('Évolution par vidéo'!D13="","",'Évolution par vidéo'!D13-N('Évolution par vidéo'!D12))</f>
        <v/>
      </c>
      <c r="E13" s="3">
        <f>IF('Évolution par vidéo'!E13="","",'Évolution par vidéo'!E13-N('Évolution par vidéo'!E12))</f>
        <v/>
      </c>
      <c r="F13" s="3">
        <f>IF('Évolution par vidéo'!F13="","",'Évolution par vidéo'!F13-N('Évolution par vidéo'!F12))</f>
        <v/>
      </c>
      <c r="G13" s="3">
        <f>IF('Évolution par vidéo'!G13="","",'Évolution par vidéo'!G13-N('Évolution par vidéo'!G12))</f>
        <v/>
      </c>
      <c r="H13" s="3">
        <f>IF('Évolution par vidéo'!H13="","",'Évolution par vidéo'!H13-N('Évolution par vidéo'!H12))</f>
        <v/>
      </c>
      <c r="I13" s="3">
        <f>IF('Évolution par vidéo'!I13="","",'Évolution par vidéo'!I13-N('Évolution par vidéo'!I12))</f>
        <v/>
      </c>
      <c r="J13" s="3">
        <f>IF('Évolution par vidéo'!J13="","",'Évolution par vidéo'!J13-N('Évolution par vidéo'!J12))</f>
        <v/>
      </c>
      <c r="K13" s="3">
        <f>IF('Évolution par vidéo'!K13="","",'Évolution par vidéo'!K13-N('Évolution par vidéo'!K12))</f>
        <v/>
      </c>
      <c r="L13" s="3">
        <f>IF('Évolution par vidéo'!L13="","",'Évolution par vidéo'!L13-N('Évolution par vidéo'!L12))</f>
        <v/>
      </c>
      <c r="M13" s="3">
        <f>IF('Évolution par vidéo'!M13="","",'Évolution par vidéo'!M13-N('Évolution par vidéo'!M12))</f>
        <v/>
      </c>
      <c r="N13" s="3">
        <f>IF('Évolution par vidéo'!N13="","",'Évolution par vidéo'!N13-N('Évolution par vidéo'!N12))</f>
        <v/>
      </c>
      <c r="O13" s="3">
        <f>IF('Évolution par vidéo'!O13="","",'Évolution par vidéo'!O13-N('Évolution par vidéo'!O12))</f>
        <v/>
      </c>
      <c r="P13" s="3">
        <f>IF('Évolution par vidéo'!P13="","",'Évolution par vidéo'!P13-N('Évolution par vidéo'!P12))</f>
        <v/>
      </c>
      <c r="Q13" s="3">
        <f>SUM(B13:P13)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10-29 Macron demande aux bra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114</v>
      </c>
      <c r="D2" s="3" t="n">
        <v>76</v>
      </c>
      <c r="E2" s="3" t="n">
        <v>119</v>
      </c>
      <c r="F2" s="3" t="n">
        <v>124</v>
      </c>
      <c r="G2" s="3" t="n"/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114</v>
      </c>
      <c r="D3" s="3" t="n">
        <v>76</v>
      </c>
      <c r="E3" s="3" t="n">
        <v>119</v>
      </c>
      <c r="F3" s="3" t="n">
        <v>130</v>
      </c>
      <c r="G3" s="3" t="n"/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114</v>
      </c>
      <c r="D4" s="3" t="n">
        <v>76</v>
      </c>
      <c r="E4" s="3" t="n">
        <v>119</v>
      </c>
      <c r="F4" s="3" t="n">
        <v>135</v>
      </c>
      <c r="G4" s="3" t="n"/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114</v>
      </c>
      <c r="D5" s="3" t="n">
        <v>76</v>
      </c>
      <c r="E5" s="3" t="n">
        <v>120</v>
      </c>
      <c r="F5" s="3" t="n">
        <v>137</v>
      </c>
      <c r="G5" s="3" t="n">
        <v>0</v>
      </c>
      <c r="H5" s="3" t="n"/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114</v>
      </c>
      <c r="D6" s="3" t="n">
        <v>76</v>
      </c>
      <c r="E6" s="3" t="n">
        <v>120</v>
      </c>
      <c r="F6" s="3" t="n">
        <v>137</v>
      </c>
      <c r="G6" s="3" t="n">
        <v>34</v>
      </c>
      <c r="H6" s="3" t="n"/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114</v>
      </c>
      <c r="D7" s="3" t="n">
        <v>76</v>
      </c>
      <c r="E7" s="3" t="n">
        <v>120</v>
      </c>
      <c r="F7" s="3" t="n">
        <v>137</v>
      </c>
      <c r="G7" s="3" t="n">
        <v>44</v>
      </c>
      <c r="H7" s="3" t="n"/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114</v>
      </c>
      <c r="D8" s="3" t="n">
        <v>76</v>
      </c>
      <c r="E8" s="3" t="n">
        <v>120</v>
      </c>
      <c r="F8" s="3" t="n">
        <v>138</v>
      </c>
      <c r="G8" s="3" t="n">
        <v>70</v>
      </c>
      <c r="H8" s="3" t="n"/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114</v>
      </c>
      <c r="D9" s="3" t="n">
        <v>76</v>
      </c>
      <c r="E9" s="3" t="n">
        <v>125</v>
      </c>
      <c r="F9" s="3" t="n">
        <v>167</v>
      </c>
      <c r="G9" s="3" t="n">
        <v>133</v>
      </c>
      <c r="H9" s="3" t="n"/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114</v>
      </c>
      <c r="D10" s="3" t="n">
        <v>76</v>
      </c>
      <c r="E10" s="3" t="n">
        <v>127</v>
      </c>
      <c r="F10" s="3" t="n">
        <v>172</v>
      </c>
      <c r="G10" s="3" t="n">
        <v>133</v>
      </c>
      <c r="H10" s="3" t="n"/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114</v>
      </c>
      <c r="D11" s="3" t="n">
        <v>76</v>
      </c>
      <c r="E11" s="3" t="n">
        <v>127</v>
      </c>
      <c r="F11" s="3" t="n">
        <v>180</v>
      </c>
      <c r="G11" s="3" t="n">
        <v>133</v>
      </c>
      <c r="H11" s="3" t="n"/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114</v>
      </c>
      <c r="D12" s="3" t="n">
        <v>76</v>
      </c>
      <c r="E12" s="3" t="n">
        <v>127</v>
      </c>
      <c r="F12" s="3" t="n">
        <v>188</v>
      </c>
      <c r="G12" s="3" t="n">
        <v>134</v>
      </c>
      <c r="H12" s="3" t="n"/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114</v>
      </c>
      <c r="D13" s="3" t="n">
        <v>76</v>
      </c>
      <c r="E13" s="3" t="n">
        <v>130</v>
      </c>
      <c r="F13" s="3" t="n">
        <v>199</v>
      </c>
      <c r="G13" s="3" t="n">
        <v>134</v>
      </c>
      <c r="H13" s="3" t="n"/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114</v>
      </c>
      <c r="D14" s="3" t="n">
        <v>76</v>
      </c>
      <c r="E14" s="3" t="n">
        <v>131</v>
      </c>
      <c r="F14" s="3" t="n">
        <v>204</v>
      </c>
      <c r="G14" s="3" t="n">
        <v>134</v>
      </c>
      <c r="H14" s="3" t="n"/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114</v>
      </c>
      <c r="D15" s="3" t="n">
        <v>76</v>
      </c>
      <c r="E15" s="3" t="n">
        <v>133</v>
      </c>
      <c r="F15" s="3" t="n">
        <v>219</v>
      </c>
      <c r="G15" s="3" t="n">
        <v>134</v>
      </c>
      <c r="H15" s="3" t="n"/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114</v>
      </c>
      <c r="D16" s="3" t="n">
        <v>76</v>
      </c>
      <c r="E16" s="3" t="n">
        <v>133</v>
      </c>
      <c r="F16" s="3" t="n">
        <v>228</v>
      </c>
      <c r="G16" s="3" t="n">
        <v>134</v>
      </c>
      <c r="H16" s="3" t="n"/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114</v>
      </c>
      <c r="D17" s="3" t="n">
        <v>76</v>
      </c>
      <c r="E17" s="3" t="n">
        <v>133</v>
      </c>
      <c r="F17" s="3" t="n">
        <v>235</v>
      </c>
      <c r="G17" s="3" t="n">
        <v>134</v>
      </c>
      <c r="H17" s="3" t="n"/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114</v>
      </c>
      <c r="D18" s="3" t="n">
        <v>76</v>
      </c>
      <c r="E18" s="3" t="n">
        <v>133</v>
      </c>
      <c r="F18" s="3" t="n">
        <v>240</v>
      </c>
      <c r="G18" s="3" t="n">
        <v>134</v>
      </c>
      <c r="H18" s="3" t="n">
        <v>0</v>
      </c>
      <c r="I18" s="3" t="n">
        <v>0</v>
      </c>
      <c r="J18" s="3" t="n"/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114</v>
      </c>
      <c r="D19" s="3" t="n">
        <v>76</v>
      </c>
      <c r="E19" s="3" t="n">
        <v>133</v>
      </c>
      <c r="F19" s="3" t="n">
        <v>242</v>
      </c>
      <c r="G19" s="3" t="n">
        <v>134</v>
      </c>
      <c r="H19" s="3" t="n">
        <v>24</v>
      </c>
      <c r="I19" s="3" t="n">
        <v>53</v>
      </c>
      <c r="J19" s="3" t="n"/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114</v>
      </c>
      <c r="D20" s="3" t="n">
        <v>76</v>
      </c>
      <c r="E20" s="3" t="n">
        <v>133</v>
      </c>
      <c r="F20" s="3" t="n">
        <v>242</v>
      </c>
      <c r="G20" s="3" t="n">
        <v>134</v>
      </c>
      <c r="H20" s="3" t="n">
        <v>26</v>
      </c>
      <c r="I20" s="3" t="n">
        <v>80</v>
      </c>
      <c r="J20" s="3" t="n"/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114</v>
      </c>
      <c r="D21" s="3" t="n">
        <v>76</v>
      </c>
      <c r="E21" s="3" t="n">
        <v>133</v>
      </c>
      <c r="F21" s="3" t="n">
        <v>242</v>
      </c>
      <c r="G21" s="3" t="n">
        <v>134</v>
      </c>
      <c r="H21" s="3" t="n">
        <v>35</v>
      </c>
      <c r="I21" s="3" t="n">
        <v>128</v>
      </c>
      <c r="J21" s="3" t="n">
        <v>0</v>
      </c>
      <c r="K21" s="3" t="n"/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114</v>
      </c>
      <c r="D22" s="3" t="n">
        <v>76</v>
      </c>
      <c r="E22" s="3" t="n">
        <v>133</v>
      </c>
      <c r="F22" s="3" t="n">
        <v>243</v>
      </c>
      <c r="G22" s="3" t="n">
        <v>134</v>
      </c>
      <c r="H22" s="3" t="n">
        <v>35</v>
      </c>
      <c r="I22" s="3" t="n">
        <v>129</v>
      </c>
      <c r="J22" s="3" t="n">
        <v>43</v>
      </c>
      <c r="K22" s="3" t="n"/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114</v>
      </c>
      <c r="D23" s="3" t="n">
        <v>76</v>
      </c>
      <c r="E23" s="3" t="n">
        <v>133</v>
      </c>
      <c r="F23" s="3" t="n">
        <v>243</v>
      </c>
      <c r="G23" s="3" t="n">
        <v>134</v>
      </c>
      <c r="H23" s="3" t="n">
        <v>41</v>
      </c>
      <c r="I23" s="3" t="n">
        <v>129</v>
      </c>
      <c r="J23" s="3" t="n">
        <v>64</v>
      </c>
      <c r="K23" s="3" t="n"/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114</v>
      </c>
      <c r="D24" s="3" t="n">
        <v>76</v>
      </c>
      <c r="E24" s="3" t="n">
        <v>133</v>
      </c>
      <c r="F24" s="3" t="n">
        <v>244</v>
      </c>
      <c r="G24" s="3" t="n">
        <v>134</v>
      </c>
      <c r="H24" s="3" t="n">
        <v>62</v>
      </c>
      <c r="I24" s="3" t="n">
        <v>129</v>
      </c>
      <c r="J24" s="3" t="n">
        <v>99</v>
      </c>
      <c r="K24" s="3" t="n"/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114</v>
      </c>
      <c r="D25" s="3" t="n">
        <v>76</v>
      </c>
      <c r="E25" s="3" t="n">
        <v>133</v>
      </c>
      <c r="F25" s="3" t="n">
        <v>244</v>
      </c>
      <c r="G25" s="3" t="n">
        <v>134</v>
      </c>
      <c r="H25" s="3" t="n">
        <v>88</v>
      </c>
      <c r="I25" s="3" t="n">
        <v>129</v>
      </c>
      <c r="J25" s="3" t="n">
        <v>111</v>
      </c>
      <c r="K25" s="3" t="n"/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114</v>
      </c>
      <c r="D26" s="3" t="n">
        <v>76</v>
      </c>
      <c r="E26" s="3" t="n">
        <v>133</v>
      </c>
      <c r="F26" s="3" t="n">
        <v>244</v>
      </c>
      <c r="G26" s="3" t="n">
        <v>134</v>
      </c>
      <c r="H26" s="3" t="n">
        <v>113</v>
      </c>
      <c r="I26" s="3" t="n">
        <v>129</v>
      </c>
      <c r="J26" s="3" t="n">
        <v>115</v>
      </c>
      <c r="K26" s="3" t="n"/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114</v>
      </c>
      <c r="D27" s="3" t="n">
        <v>76</v>
      </c>
      <c r="E27" s="3" t="n">
        <v>133</v>
      </c>
      <c r="F27" s="3" t="n">
        <v>244</v>
      </c>
      <c r="G27" s="3" t="n">
        <v>134</v>
      </c>
      <c r="H27" s="3" t="n">
        <v>113</v>
      </c>
      <c r="I27" s="3" t="n">
        <v>129</v>
      </c>
      <c r="J27" s="3" t="n">
        <v>115</v>
      </c>
      <c r="K27" s="3" t="n"/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114</v>
      </c>
      <c r="D28" s="3" t="n">
        <v>76</v>
      </c>
      <c r="E28" s="3" t="n">
        <v>133</v>
      </c>
      <c r="F28" s="3" t="n">
        <v>244</v>
      </c>
      <c r="G28" s="3" t="n">
        <v>134</v>
      </c>
      <c r="H28" s="3" t="n">
        <v>113</v>
      </c>
      <c r="I28" s="3" t="n">
        <v>129</v>
      </c>
      <c r="J28" s="3" t="n">
        <v>115</v>
      </c>
      <c r="K28" s="3" t="n"/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114</v>
      </c>
      <c r="D29" s="3" t="n">
        <v>76</v>
      </c>
      <c r="E29" s="3" t="n">
        <v>133</v>
      </c>
      <c r="F29" s="3" t="n">
        <v>244</v>
      </c>
      <c r="G29" s="3" t="n">
        <v>134</v>
      </c>
      <c r="H29" s="3" t="n">
        <v>114</v>
      </c>
      <c r="I29" s="3" t="n">
        <v>130</v>
      </c>
      <c r="J29" s="3" t="n">
        <v>116</v>
      </c>
      <c r="K29" s="3" t="n"/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114</v>
      </c>
      <c r="D30" s="3" t="n">
        <v>76</v>
      </c>
      <c r="E30" s="3" t="n">
        <v>133</v>
      </c>
      <c r="F30" s="3" t="n">
        <v>244</v>
      </c>
      <c r="G30" s="3" t="n">
        <v>134</v>
      </c>
      <c r="H30" s="3" t="n">
        <v>114</v>
      </c>
      <c r="I30" s="3" t="n">
        <v>130</v>
      </c>
      <c r="J30" s="3" t="n">
        <v>116</v>
      </c>
      <c r="K30" s="3" t="n"/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114</v>
      </c>
      <c r="D31" s="3" t="n">
        <v>76</v>
      </c>
      <c r="E31" s="3" t="n">
        <v>133</v>
      </c>
      <c r="F31" s="3" t="n">
        <v>244</v>
      </c>
      <c r="G31" s="3" t="n">
        <v>134</v>
      </c>
      <c r="H31" s="3" t="n">
        <v>114</v>
      </c>
      <c r="I31" s="3" t="n">
        <v>130</v>
      </c>
      <c r="J31" s="3" t="n">
        <v>116</v>
      </c>
      <c r="K31" s="3" t="n"/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114</v>
      </c>
      <c r="D32" s="3" t="n">
        <v>76</v>
      </c>
      <c r="E32" s="3" t="n">
        <v>133</v>
      </c>
      <c r="F32" s="3" t="n">
        <v>244</v>
      </c>
      <c r="G32" s="3" t="n">
        <v>134</v>
      </c>
      <c r="H32" s="3" t="n">
        <v>114</v>
      </c>
      <c r="I32" s="3" t="n">
        <v>130</v>
      </c>
      <c r="J32" s="3" t="n">
        <v>116</v>
      </c>
      <c r="K32" s="3" t="n"/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114</v>
      </c>
      <c r="D33" s="3" t="n">
        <v>76</v>
      </c>
      <c r="E33" s="3" t="n">
        <v>133</v>
      </c>
      <c r="F33" s="3" t="n">
        <v>244</v>
      </c>
      <c r="G33" s="3" t="n">
        <v>134</v>
      </c>
      <c r="H33" s="3" t="n">
        <v>114</v>
      </c>
      <c r="I33" s="3" t="n">
        <v>130</v>
      </c>
      <c r="J33" s="3" t="n">
        <v>117</v>
      </c>
      <c r="K33" s="3" t="n"/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114</v>
      </c>
      <c r="D34" s="3" t="n">
        <v>76</v>
      </c>
      <c r="E34" s="3" t="n">
        <v>133</v>
      </c>
      <c r="F34" s="3" t="n">
        <v>244</v>
      </c>
      <c r="G34" s="3" t="n">
        <v>134</v>
      </c>
      <c r="H34" s="3" t="n">
        <v>114</v>
      </c>
      <c r="I34" s="3" t="n">
        <v>130</v>
      </c>
      <c r="J34" s="3" t="n">
        <v>117</v>
      </c>
      <c r="K34" s="3" t="n"/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114</v>
      </c>
      <c r="D35" s="3" t="n">
        <v>76</v>
      </c>
      <c r="E35" s="3" t="n">
        <v>133</v>
      </c>
      <c r="F35" s="3" t="n">
        <v>244</v>
      </c>
      <c r="G35" s="3" t="n">
        <v>134</v>
      </c>
      <c r="H35" s="3" t="n">
        <v>114</v>
      </c>
      <c r="I35" s="3" t="n">
        <v>130</v>
      </c>
      <c r="J35" s="3" t="n">
        <v>117</v>
      </c>
      <c r="K35" s="3" t="n"/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114</v>
      </c>
      <c r="D36" s="3" t="n">
        <v>76</v>
      </c>
      <c r="E36" s="3" t="n">
        <v>133</v>
      </c>
      <c r="F36" s="3" t="n">
        <v>244</v>
      </c>
      <c r="G36" s="3" t="n">
        <v>134</v>
      </c>
      <c r="H36" s="3" t="n">
        <v>114</v>
      </c>
      <c r="I36" s="3" t="n">
        <v>130</v>
      </c>
      <c r="J36" s="3" t="n">
        <v>117</v>
      </c>
      <c r="K36" s="3" t="n"/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114</v>
      </c>
      <c r="D37" s="3" t="n">
        <v>76</v>
      </c>
      <c r="E37" s="3" t="n">
        <v>133</v>
      </c>
      <c r="F37" s="3" t="n">
        <v>244</v>
      </c>
      <c r="G37" s="3" t="n">
        <v>134</v>
      </c>
      <c r="H37" s="3" t="n">
        <v>114</v>
      </c>
      <c r="I37" s="3" t="n">
        <v>130</v>
      </c>
      <c r="J37" s="3" t="n">
        <v>117</v>
      </c>
      <c r="K37" s="3" t="n"/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114</v>
      </c>
      <c r="D38" s="3" t="n">
        <v>76</v>
      </c>
      <c r="E38" s="3" t="n">
        <v>133</v>
      </c>
      <c r="F38" s="3" t="n">
        <v>244</v>
      </c>
      <c r="G38" s="3" t="n">
        <v>134</v>
      </c>
      <c r="H38" s="3" t="n">
        <v>114</v>
      </c>
      <c r="I38" s="3" t="n">
        <v>130</v>
      </c>
      <c r="J38" s="3" t="n">
        <v>117</v>
      </c>
      <c r="K38" s="3" t="n"/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114</v>
      </c>
      <c r="D39" s="3" t="n">
        <v>76</v>
      </c>
      <c r="E39" s="3" t="n">
        <v>133</v>
      </c>
      <c r="F39" s="3" t="n">
        <v>244</v>
      </c>
      <c r="G39" s="3" t="n">
        <v>134</v>
      </c>
      <c r="H39" s="3" t="n">
        <v>114</v>
      </c>
      <c r="I39" s="3" t="n">
        <v>130</v>
      </c>
      <c r="J39" s="3" t="n">
        <v>117</v>
      </c>
      <c r="K39" s="3" t="n"/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114</v>
      </c>
      <c r="D40" s="3" t="n">
        <v>76</v>
      </c>
      <c r="E40" s="3" t="n">
        <v>133</v>
      </c>
      <c r="F40" s="3" t="n">
        <v>244</v>
      </c>
      <c r="G40" s="3" t="n">
        <v>134</v>
      </c>
      <c r="H40" s="3" t="n">
        <v>114</v>
      </c>
      <c r="I40" s="3" t="n">
        <v>130</v>
      </c>
      <c r="J40" s="3" t="n">
        <v>118</v>
      </c>
      <c r="K40" s="3" t="n">
        <v>0</v>
      </c>
      <c r="L40" s="3" t="n"/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114</v>
      </c>
      <c r="D41" s="3" t="n">
        <v>76</v>
      </c>
      <c r="E41" s="3" t="n">
        <v>133</v>
      </c>
      <c r="F41" s="3" t="n">
        <v>244</v>
      </c>
      <c r="G41" s="3" t="n">
        <v>134</v>
      </c>
      <c r="H41" s="3" t="n">
        <v>114</v>
      </c>
      <c r="I41" s="3" t="n">
        <v>130</v>
      </c>
      <c r="J41" s="3" t="n">
        <v>118</v>
      </c>
      <c r="K41" s="3" t="n">
        <v>46</v>
      </c>
      <c r="L41" s="3" t="n"/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114</v>
      </c>
      <c r="D42" s="3" t="n">
        <v>76</v>
      </c>
      <c r="E42" s="3" t="n">
        <v>133</v>
      </c>
      <c r="F42" s="3" t="n">
        <v>244</v>
      </c>
      <c r="G42" s="3" t="n">
        <v>134</v>
      </c>
      <c r="H42" s="3" t="n">
        <v>114</v>
      </c>
      <c r="I42" s="3" t="n">
        <v>130</v>
      </c>
      <c r="J42" s="3" t="n">
        <v>118</v>
      </c>
      <c r="K42" s="3" t="n">
        <v>77</v>
      </c>
      <c r="L42" s="3" t="n"/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114</v>
      </c>
      <c r="D43" s="3" t="n">
        <v>76</v>
      </c>
      <c r="E43" s="3" t="n">
        <v>133</v>
      </c>
      <c r="F43" s="3" t="n">
        <v>244</v>
      </c>
      <c r="G43" s="3" t="n">
        <v>134</v>
      </c>
      <c r="H43" s="3" t="n">
        <v>114</v>
      </c>
      <c r="I43" s="3" t="n">
        <v>130</v>
      </c>
      <c r="J43" s="3" t="n">
        <v>118</v>
      </c>
      <c r="K43" s="3" t="n">
        <v>83</v>
      </c>
      <c r="L43" s="3" t="n"/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114</v>
      </c>
      <c r="D44" s="3" t="n">
        <v>76</v>
      </c>
      <c r="E44" s="3" t="n">
        <v>133</v>
      </c>
      <c r="F44" s="3" t="n">
        <v>244</v>
      </c>
      <c r="G44" s="3" t="n">
        <v>134</v>
      </c>
      <c r="H44" s="3" t="n">
        <v>114</v>
      </c>
      <c r="I44" s="3" t="n">
        <v>130</v>
      </c>
      <c r="J44" s="3" t="n">
        <v>118</v>
      </c>
      <c r="K44" s="3" t="n">
        <v>89</v>
      </c>
      <c r="L44" s="3" t="n"/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114</v>
      </c>
      <c r="D45" s="3" t="n">
        <v>76</v>
      </c>
      <c r="E45" s="3" t="n">
        <v>133</v>
      </c>
      <c r="F45" s="3" t="n">
        <v>244</v>
      </c>
      <c r="G45" s="3" t="n">
        <v>134</v>
      </c>
      <c r="H45" s="3" t="n">
        <v>114</v>
      </c>
      <c r="I45" s="3" t="n">
        <v>130</v>
      </c>
      <c r="J45" s="3" t="n">
        <v>118</v>
      </c>
      <c r="K45" s="3" t="n">
        <v>91</v>
      </c>
      <c r="L45" s="3" t="n"/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114</v>
      </c>
      <c r="D46" s="3" t="n">
        <v>76</v>
      </c>
      <c r="E46" s="3" t="n">
        <v>133</v>
      </c>
      <c r="F46" s="3" t="n">
        <v>244</v>
      </c>
      <c r="G46" s="3" t="n">
        <v>134</v>
      </c>
      <c r="H46" s="3" t="n">
        <v>114</v>
      </c>
      <c r="I46" s="3" t="n">
        <v>130</v>
      </c>
      <c r="J46" s="3" t="n">
        <v>118</v>
      </c>
      <c r="K46" s="3" t="n">
        <v>92</v>
      </c>
      <c r="L46" s="3" t="n"/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114</v>
      </c>
      <c r="D47" s="3" t="n">
        <v>76</v>
      </c>
      <c r="E47" s="3" t="n">
        <v>133</v>
      </c>
      <c r="F47" s="3" t="n">
        <v>244</v>
      </c>
      <c r="G47" s="3" t="n">
        <v>134</v>
      </c>
      <c r="H47" s="3" t="n">
        <v>114</v>
      </c>
      <c r="I47" s="3" t="n">
        <v>130</v>
      </c>
      <c r="J47" s="3" t="n">
        <v>118</v>
      </c>
      <c r="K47" s="3" t="n">
        <v>92</v>
      </c>
      <c r="L47" s="3" t="n"/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114</v>
      </c>
      <c r="D48" s="3" t="n">
        <v>76</v>
      </c>
      <c r="E48" s="3" t="n">
        <v>133</v>
      </c>
      <c r="F48" s="3" t="n">
        <v>244</v>
      </c>
      <c r="G48" s="3" t="n">
        <v>134</v>
      </c>
      <c r="H48" s="3" t="n">
        <v>114</v>
      </c>
      <c r="I48" s="3" t="n">
        <v>130</v>
      </c>
      <c r="J48" s="3" t="n">
        <v>118</v>
      </c>
      <c r="K48" s="3" t="n">
        <v>92</v>
      </c>
      <c r="L48" s="3" t="n"/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114</v>
      </c>
      <c r="D49" s="3" t="n">
        <v>76</v>
      </c>
      <c r="E49" s="3" t="n">
        <v>133</v>
      </c>
      <c r="F49" s="3" t="n">
        <v>244</v>
      </c>
      <c r="G49" s="3" t="n">
        <v>134</v>
      </c>
      <c r="H49" s="3" t="n">
        <v>114</v>
      </c>
      <c r="I49" s="3" t="n">
        <v>130</v>
      </c>
      <c r="J49" s="3" t="n">
        <v>118</v>
      </c>
      <c r="K49" s="3" t="n">
        <v>94</v>
      </c>
      <c r="L49" s="3" t="n"/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114</v>
      </c>
      <c r="D50" s="3" t="n">
        <v>76</v>
      </c>
      <c r="E50" s="3" t="n">
        <v>133</v>
      </c>
      <c r="F50" s="3" t="n">
        <v>244</v>
      </c>
      <c r="G50" s="3" t="n">
        <v>134</v>
      </c>
      <c r="H50" s="3" t="n">
        <v>114</v>
      </c>
      <c r="I50" s="3" t="n">
        <v>130</v>
      </c>
      <c r="J50" s="3" t="n">
        <v>118</v>
      </c>
      <c r="K50" s="3" t="n">
        <v>95</v>
      </c>
      <c r="L50" s="3" t="n"/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114</v>
      </c>
      <c r="D51" s="3" t="n">
        <v>76</v>
      </c>
      <c r="E51" s="3" t="n">
        <v>133</v>
      </c>
      <c r="F51" s="3" t="n">
        <v>244</v>
      </c>
      <c r="G51" s="3" t="n">
        <v>134</v>
      </c>
      <c r="H51" s="3" t="n">
        <v>114</v>
      </c>
      <c r="I51" s="3" t="n">
        <v>130</v>
      </c>
      <c r="J51" s="3" t="n">
        <v>118</v>
      </c>
      <c r="K51" s="3" t="n">
        <v>95</v>
      </c>
      <c r="L51" s="3" t="n"/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114</v>
      </c>
      <c r="D52" s="3" t="n">
        <v>76</v>
      </c>
      <c r="E52" s="3" t="n">
        <v>133</v>
      </c>
      <c r="F52" s="3" t="n">
        <v>244</v>
      </c>
      <c r="G52" s="3" t="n">
        <v>134</v>
      </c>
      <c r="H52" s="3" t="n">
        <v>114</v>
      </c>
      <c r="I52" s="3" t="n">
        <v>130</v>
      </c>
      <c r="J52" s="3" t="n">
        <v>118</v>
      </c>
      <c r="K52" s="3" t="n">
        <v>98</v>
      </c>
      <c r="L52" s="3" t="n"/>
      <c r="M52" s="3">
        <f>SUM(C52:L52)</f>
        <v/>
      </c>
    </row>
    <row r="53">
      <c r="A53" s="2" t="inlineStr">
        <is>
          <t>2026-10-27 21:00</t>
        </is>
      </c>
      <c r="B53" s="3" t="n">
        <v>7</v>
      </c>
      <c r="C53" s="3" t="n">
        <v>114</v>
      </c>
      <c r="D53" s="3" t="n">
        <v>76</v>
      </c>
      <c r="E53" s="3" t="n">
        <v>133</v>
      </c>
      <c r="F53" s="3" t="n">
        <v>244</v>
      </c>
      <c r="G53" s="3" t="n">
        <v>134</v>
      </c>
      <c r="H53" s="3" t="n">
        <v>114</v>
      </c>
      <c r="I53" s="3" t="n">
        <v>130</v>
      </c>
      <c r="J53" s="3" t="n">
        <v>118</v>
      </c>
      <c r="K53" s="3" t="n">
        <v>98</v>
      </c>
      <c r="L53" s="3" t="n"/>
      <c r="M53" s="3">
        <f>SUM(C53:L53)</f>
        <v/>
      </c>
    </row>
    <row r="54">
      <c r="A54" s="2" t="inlineStr">
        <is>
          <t>2026-10-27 22:00</t>
        </is>
      </c>
      <c r="B54" s="3" t="n">
        <v>7</v>
      </c>
      <c r="C54" s="3" t="n">
        <v>114</v>
      </c>
      <c r="D54" s="3" t="n">
        <v>76</v>
      </c>
      <c r="E54" s="3" t="n">
        <v>133</v>
      </c>
      <c r="F54" s="3" t="n">
        <v>244</v>
      </c>
      <c r="G54" s="3" t="n">
        <v>134</v>
      </c>
      <c r="H54" s="3" t="n">
        <v>114</v>
      </c>
      <c r="I54" s="3" t="n">
        <v>130</v>
      </c>
      <c r="J54" s="3" t="n">
        <v>118</v>
      </c>
      <c r="K54" s="3" t="n">
        <v>105</v>
      </c>
      <c r="L54" s="3" t="n"/>
      <c r="M54" s="3">
        <f>SUM(C54:L54)</f>
        <v/>
      </c>
    </row>
    <row r="55">
      <c r="A55" s="2" t="inlineStr">
        <is>
          <t>2026-10-27 23:00</t>
        </is>
      </c>
      <c r="B55" s="3" t="n">
        <v>7</v>
      </c>
      <c r="C55" s="3" t="n">
        <v>114</v>
      </c>
      <c r="D55" s="3" t="n">
        <v>76</v>
      </c>
      <c r="E55" s="3" t="n">
        <v>133</v>
      </c>
      <c r="F55" s="3" t="n">
        <v>244</v>
      </c>
      <c r="G55" s="3" t="n">
        <v>134</v>
      </c>
      <c r="H55" s="3" t="n">
        <v>114</v>
      </c>
      <c r="I55" s="3" t="n">
        <v>130</v>
      </c>
      <c r="J55" s="3" t="n">
        <v>118</v>
      </c>
      <c r="K55" s="3" t="n">
        <v>107</v>
      </c>
      <c r="L55" s="3" t="n"/>
      <c r="M55" s="3">
        <f>SUM(C55:L55)</f>
        <v/>
      </c>
    </row>
    <row r="56">
      <c r="A56" s="2" t="inlineStr">
        <is>
          <t>2026-10-28 06:00</t>
        </is>
      </c>
      <c r="B56" s="3" t="n">
        <v>7</v>
      </c>
      <c r="C56" s="3" t="n">
        <v>114</v>
      </c>
      <c r="D56" s="3" t="n">
        <v>76</v>
      </c>
      <c r="E56" s="3" t="n">
        <v>133</v>
      </c>
      <c r="F56" s="3" t="n">
        <v>244</v>
      </c>
      <c r="G56" s="3" t="n">
        <v>134</v>
      </c>
      <c r="H56" s="3" t="n">
        <v>114</v>
      </c>
      <c r="I56" s="3" t="n">
        <v>130</v>
      </c>
      <c r="J56" s="3" t="n">
        <v>118</v>
      </c>
      <c r="K56" s="3" t="n">
        <v>107</v>
      </c>
      <c r="L56" s="3" t="n"/>
      <c r="M56" s="3">
        <f>SUM(C56:L56)</f>
        <v/>
      </c>
    </row>
    <row r="57">
      <c r="A57" s="2" t="inlineStr">
        <is>
          <t>2026-10-28 07:00</t>
        </is>
      </c>
      <c r="B57" s="3" t="n">
        <v>7</v>
      </c>
      <c r="C57" s="3" t="n">
        <v>114</v>
      </c>
      <c r="D57" s="3" t="n">
        <v>76</v>
      </c>
      <c r="E57" s="3" t="n">
        <v>133</v>
      </c>
      <c r="F57" s="3" t="n">
        <v>244</v>
      </c>
      <c r="G57" s="3" t="n">
        <v>134</v>
      </c>
      <c r="H57" s="3" t="n">
        <v>114</v>
      </c>
      <c r="I57" s="3" t="n">
        <v>130</v>
      </c>
      <c r="J57" s="3" t="n">
        <v>118</v>
      </c>
      <c r="K57" s="3" t="n">
        <v>107</v>
      </c>
      <c r="L57" s="3" t="n"/>
      <c r="M57" s="3">
        <f>SUM(C57:L57)</f>
        <v/>
      </c>
    </row>
    <row r="58">
      <c r="A58" s="2" t="inlineStr">
        <is>
          <t>2026-10-28 08:00</t>
        </is>
      </c>
      <c r="B58" s="3" t="n">
        <v>7</v>
      </c>
      <c r="C58" s="3" t="n">
        <v>114</v>
      </c>
      <c r="D58" s="3" t="n">
        <v>76</v>
      </c>
      <c r="E58" s="3" t="n">
        <v>133</v>
      </c>
      <c r="F58" s="3" t="n">
        <v>244</v>
      </c>
      <c r="G58" s="3" t="n">
        <v>134</v>
      </c>
      <c r="H58" s="3" t="n">
        <v>114</v>
      </c>
      <c r="I58" s="3" t="n">
        <v>130</v>
      </c>
      <c r="J58" s="3" t="n">
        <v>118</v>
      </c>
      <c r="K58" s="3" t="n">
        <v>107</v>
      </c>
      <c r="L58" s="3" t="n"/>
      <c r="M58" s="3">
        <f>SUM(C58:L58)</f>
        <v/>
      </c>
    </row>
    <row r="59">
      <c r="A59" s="2" t="inlineStr">
        <is>
          <t>2026-10-28 09:00</t>
        </is>
      </c>
      <c r="B59" s="3" t="n">
        <v>7</v>
      </c>
      <c r="C59" s="3" t="n">
        <v>114</v>
      </c>
      <c r="D59" s="3" t="n">
        <v>76</v>
      </c>
      <c r="E59" s="3" t="n">
        <v>133</v>
      </c>
      <c r="F59" s="3" t="n">
        <v>244</v>
      </c>
      <c r="G59" s="3" t="n">
        <v>134</v>
      </c>
      <c r="H59" s="3" t="n">
        <v>114</v>
      </c>
      <c r="I59" s="3" t="n">
        <v>130</v>
      </c>
      <c r="J59" s="3" t="n">
        <v>118</v>
      </c>
      <c r="K59" s="3" t="n">
        <v>107</v>
      </c>
      <c r="L59" s="3" t="n"/>
      <c r="M59" s="3">
        <f>SUM(C59:L59)</f>
        <v/>
      </c>
    </row>
    <row r="60">
      <c r="A60" s="2" t="inlineStr">
        <is>
          <t>2026-10-28 10:00</t>
        </is>
      </c>
      <c r="B60" s="3" t="n">
        <v>7</v>
      </c>
      <c r="C60" s="3" t="n">
        <v>114</v>
      </c>
      <c r="D60" s="3" t="n">
        <v>76</v>
      </c>
      <c r="E60" s="3" t="n">
        <v>133</v>
      </c>
      <c r="F60" s="3" t="n">
        <v>244</v>
      </c>
      <c r="G60" s="3" t="n">
        <v>134</v>
      </c>
      <c r="H60" s="3" t="n">
        <v>114</v>
      </c>
      <c r="I60" s="3" t="n">
        <v>130</v>
      </c>
      <c r="J60" s="3" t="n">
        <v>118</v>
      </c>
      <c r="K60" s="3" t="n">
        <v>107</v>
      </c>
      <c r="L60" s="3" t="n"/>
      <c r="M60" s="3">
        <f>SUM(C60:L60)</f>
        <v/>
      </c>
    </row>
    <row r="61">
      <c r="A61" s="2" t="inlineStr">
        <is>
          <t>2026-10-28 11:00</t>
        </is>
      </c>
      <c r="B61" s="3" t="n">
        <v>7</v>
      </c>
      <c r="C61" s="3" t="n">
        <v>114</v>
      </c>
      <c r="D61" s="3" t="n">
        <v>76</v>
      </c>
      <c r="E61" s="3" t="n">
        <v>133</v>
      </c>
      <c r="F61" s="3" t="n">
        <v>244</v>
      </c>
      <c r="G61" s="3" t="n">
        <v>134</v>
      </c>
      <c r="H61" s="3" t="n">
        <v>114</v>
      </c>
      <c r="I61" s="3" t="n">
        <v>130</v>
      </c>
      <c r="J61" s="3" t="n">
        <v>118</v>
      </c>
      <c r="K61" s="3" t="n">
        <v>107</v>
      </c>
      <c r="L61" s="3" t="n"/>
      <c r="M61" s="3">
        <f>SUM(C61:L61)</f>
        <v/>
      </c>
    </row>
    <row r="62">
      <c r="A62" s="2" t="inlineStr">
        <is>
          <t>2026-10-28 12:00</t>
        </is>
      </c>
      <c r="B62" s="3" t="n">
        <v>7</v>
      </c>
      <c r="C62" s="3" t="n">
        <v>114</v>
      </c>
      <c r="D62" s="3" t="n">
        <v>76</v>
      </c>
      <c r="E62" s="3" t="n">
        <v>133</v>
      </c>
      <c r="F62" s="3" t="n">
        <v>244</v>
      </c>
      <c r="G62" s="3" t="n">
        <v>134</v>
      </c>
      <c r="H62" s="3" t="n">
        <v>114</v>
      </c>
      <c r="I62" s="3" t="n">
        <v>130</v>
      </c>
      <c r="J62" s="3" t="n">
        <v>118</v>
      </c>
      <c r="K62" s="3" t="n">
        <v>107</v>
      </c>
      <c r="L62" s="3" t="n"/>
      <c r="M62" s="3">
        <f>SUM(C62:L62)</f>
        <v/>
      </c>
    </row>
    <row r="63">
      <c r="A63" s="2" t="inlineStr">
        <is>
          <t>2026-10-28 13:00</t>
        </is>
      </c>
      <c r="B63" s="3" t="n">
        <v>7</v>
      </c>
      <c r="C63" s="3" t="n">
        <v>114</v>
      </c>
      <c r="D63" s="3" t="n">
        <v>76</v>
      </c>
      <c r="E63" s="3" t="n">
        <v>133</v>
      </c>
      <c r="F63" s="3" t="n">
        <v>244</v>
      </c>
      <c r="G63" s="3" t="n">
        <v>134</v>
      </c>
      <c r="H63" s="3" t="n">
        <v>114</v>
      </c>
      <c r="I63" s="3" t="n">
        <v>130</v>
      </c>
      <c r="J63" s="3" t="n">
        <v>118</v>
      </c>
      <c r="K63" s="3" t="n">
        <v>107</v>
      </c>
      <c r="L63" s="3" t="n"/>
      <c r="M63" s="3">
        <f>SUM(C63:L63)</f>
        <v/>
      </c>
    </row>
    <row r="64">
      <c r="A64" s="2" t="inlineStr">
        <is>
          <t>2026-10-28 14:00</t>
        </is>
      </c>
      <c r="B64" s="3" t="n">
        <v>7</v>
      </c>
      <c r="C64" s="3" t="n">
        <v>114</v>
      </c>
      <c r="D64" s="3" t="n">
        <v>76</v>
      </c>
      <c r="E64" s="3" t="n">
        <v>133</v>
      </c>
      <c r="F64" s="3" t="n">
        <v>244</v>
      </c>
      <c r="G64" s="3" t="n">
        <v>134</v>
      </c>
      <c r="H64" s="3" t="n">
        <v>114</v>
      </c>
      <c r="I64" s="3" t="n">
        <v>130</v>
      </c>
      <c r="J64" s="3" t="n">
        <v>118</v>
      </c>
      <c r="K64" s="3" t="n">
        <v>107</v>
      </c>
      <c r="L64" s="3" t="n"/>
      <c r="M64" s="3">
        <f>SUM(C64:L64)</f>
        <v/>
      </c>
    </row>
    <row r="65">
      <c r="A65" s="2" t="inlineStr">
        <is>
          <t>2026-10-28 15:00</t>
        </is>
      </c>
      <c r="B65" s="3" t="n">
        <v>7</v>
      </c>
      <c r="C65" s="3" t="n">
        <v>114</v>
      </c>
      <c r="D65" s="3" t="n">
        <v>76</v>
      </c>
      <c r="E65" s="3" t="n">
        <v>133</v>
      </c>
      <c r="F65" s="3" t="n">
        <v>244</v>
      </c>
      <c r="G65" s="3" t="n">
        <v>134</v>
      </c>
      <c r="H65" s="3" t="n">
        <v>114</v>
      </c>
      <c r="I65" s="3" t="n">
        <v>130</v>
      </c>
      <c r="J65" s="3" t="n">
        <v>118</v>
      </c>
      <c r="K65" s="3" t="n">
        <v>107</v>
      </c>
      <c r="L65" s="3" t="n"/>
      <c r="M65" s="3">
        <f>SUM(C65:L65)</f>
        <v/>
      </c>
    </row>
    <row r="66">
      <c r="A66" s="2" t="inlineStr">
        <is>
          <t>2026-10-28 16:00</t>
        </is>
      </c>
      <c r="B66" s="3" t="n">
        <v>7</v>
      </c>
      <c r="C66" s="3" t="n">
        <v>114</v>
      </c>
      <c r="D66" s="3" t="n">
        <v>76</v>
      </c>
      <c r="E66" s="3" t="n">
        <v>133</v>
      </c>
      <c r="F66" s="3" t="n">
        <v>244</v>
      </c>
      <c r="G66" s="3" t="n">
        <v>134</v>
      </c>
      <c r="H66" s="3" t="n">
        <v>114</v>
      </c>
      <c r="I66" s="3" t="n">
        <v>130</v>
      </c>
      <c r="J66" s="3" t="n">
        <v>118</v>
      </c>
      <c r="K66" s="3" t="n">
        <v>107</v>
      </c>
      <c r="L66" s="3" t="n"/>
      <c r="M66" s="3">
        <f>SUM(C66:L66)</f>
        <v/>
      </c>
    </row>
    <row r="67">
      <c r="A67" s="2" t="inlineStr">
        <is>
          <t>2026-10-28 17:00</t>
        </is>
      </c>
      <c r="B67" s="3" t="n">
        <v>7</v>
      </c>
      <c r="C67" s="3" t="n">
        <v>114</v>
      </c>
      <c r="D67" s="3" t="n">
        <v>76</v>
      </c>
      <c r="E67" s="3" t="n">
        <v>133</v>
      </c>
      <c r="F67" s="3" t="n">
        <v>244</v>
      </c>
      <c r="G67" s="3" t="n">
        <v>134</v>
      </c>
      <c r="H67" s="3" t="n">
        <v>114</v>
      </c>
      <c r="I67" s="3" t="n">
        <v>130</v>
      </c>
      <c r="J67" s="3" t="n">
        <v>118</v>
      </c>
      <c r="K67" s="3" t="n">
        <v>107</v>
      </c>
      <c r="L67" s="3" t="n"/>
      <c r="M67" s="3">
        <f>SUM(C67:L67)</f>
        <v/>
      </c>
    </row>
    <row r="68">
      <c r="A68" s="2" t="inlineStr">
        <is>
          <t>2026-10-28 18:00</t>
        </is>
      </c>
      <c r="B68" s="3" t="n">
        <v>7</v>
      </c>
      <c r="C68" s="3" t="n">
        <v>114</v>
      </c>
      <c r="D68" s="3" t="n">
        <v>76</v>
      </c>
      <c r="E68" s="3" t="n">
        <v>133</v>
      </c>
      <c r="F68" s="3" t="n">
        <v>244</v>
      </c>
      <c r="G68" s="3" t="n">
        <v>134</v>
      </c>
      <c r="H68" s="3" t="n">
        <v>114</v>
      </c>
      <c r="I68" s="3" t="n">
        <v>130</v>
      </c>
      <c r="J68" s="3" t="n">
        <v>118</v>
      </c>
      <c r="K68" s="3" t="n">
        <v>107</v>
      </c>
      <c r="L68" s="3" t="n"/>
      <c r="M68" s="3">
        <f>SUM(C68:L68)</f>
        <v/>
      </c>
    </row>
    <row r="69">
      <c r="A69" s="2" t="inlineStr">
        <is>
          <t>2026-10-28 19:00</t>
        </is>
      </c>
      <c r="B69" s="3" t="n">
        <v>7</v>
      </c>
      <c r="C69" s="3" t="n">
        <v>114</v>
      </c>
      <c r="D69" s="3" t="n">
        <v>76</v>
      </c>
      <c r="E69" s="3" t="n">
        <v>133</v>
      </c>
      <c r="F69" s="3" t="n">
        <v>244</v>
      </c>
      <c r="G69" s="3" t="n">
        <v>134</v>
      </c>
      <c r="H69" s="3" t="n">
        <v>114</v>
      </c>
      <c r="I69" s="3" t="n">
        <v>130</v>
      </c>
      <c r="J69" s="3" t="n">
        <v>118</v>
      </c>
      <c r="K69" s="3" t="n">
        <v>107</v>
      </c>
      <c r="L69" s="3" t="n"/>
      <c r="M69" s="3">
        <f>SUM(C69:L69)</f>
        <v/>
      </c>
    </row>
    <row r="70">
      <c r="A70" s="2" t="inlineStr">
        <is>
          <t>2026-10-28 20:00</t>
        </is>
      </c>
      <c r="B70" s="3" t="n">
        <v>7</v>
      </c>
      <c r="C70" s="3" t="n">
        <v>114</v>
      </c>
      <c r="D70" s="3" t="n">
        <v>76</v>
      </c>
      <c r="E70" s="3" t="n">
        <v>133</v>
      </c>
      <c r="F70" s="3" t="n">
        <v>244</v>
      </c>
      <c r="G70" s="3" t="n">
        <v>134</v>
      </c>
      <c r="H70" s="3" t="n">
        <v>114</v>
      </c>
      <c r="I70" s="3" t="n">
        <v>130</v>
      </c>
      <c r="J70" s="3" t="n">
        <v>118</v>
      </c>
      <c r="K70" s="3" t="n">
        <v>107</v>
      </c>
      <c r="L70" s="3" t="n"/>
      <c r="M70" s="3">
        <f>SUM(C70:L70)</f>
        <v/>
      </c>
    </row>
    <row r="71">
      <c r="A71" s="2" t="inlineStr">
        <is>
          <t>2026-10-28 21:00</t>
        </is>
      </c>
      <c r="B71" s="3" t="n">
        <v>7</v>
      </c>
      <c r="C71" s="3" t="n">
        <v>114</v>
      </c>
      <c r="D71" s="3" t="n">
        <v>76</v>
      </c>
      <c r="E71" s="3" t="n">
        <v>133</v>
      </c>
      <c r="F71" s="3" t="n">
        <v>244</v>
      </c>
      <c r="G71" s="3" t="n">
        <v>134</v>
      </c>
      <c r="H71" s="3" t="n">
        <v>114</v>
      </c>
      <c r="I71" s="3" t="n">
        <v>130</v>
      </c>
      <c r="J71" s="3" t="n">
        <v>118</v>
      </c>
      <c r="K71" s="3" t="n">
        <v>107</v>
      </c>
      <c r="L71" s="3" t="n"/>
      <c r="M71" s="3">
        <f>SUM(C71:L71)</f>
        <v/>
      </c>
    </row>
    <row r="72">
      <c r="A72" s="2" t="inlineStr">
        <is>
          <t>2026-10-28 22:00</t>
        </is>
      </c>
      <c r="B72" s="3" t="n">
        <v>7</v>
      </c>
      <c r="C72" s="3" t="n">
        <v>114</v>
      </c>
      <c r="D72" s="3" t="n">
        <v>76</v>
      </c>
      <c r="E72" s="3" t="n">
        <v>133</v>
      </c>
      <c r="F72" s="3" t="n">
        <v>244</v>
      </c>
      <c r="G72" s="3" t="n">
        <v>134</v>
      </c>
      <c r="H72" s="3" t="n">
        <v>114</v>
      </c>
      <c r="I72" s="3" t="n">
        <v>130</v>
      </c>
      <c r="J72" s="3" t="n">
        <v>118</v>
      </c>
      <c r="K72" s="3" t="n">
        <v>107</v>
      </c>
      <c r="L72" s="3" t="n"/>
      <c r="M72" s="3">
        <f>SUM(C72:L72)</f>
        <v/>
      </c>
    </row>
    <row r="73">
      <c r="A73" s="2" t="inlineStr">
        <is>
          <t>2026-10-29 06:00</t>
        </is>
      </c>
      <c r="B73" s="3" t="n">
        <v>7</v>
      </c>
      <c r="C73" s="3" t="n">
        <v>114</v>
      </c>
      <c r="D73" s="3" t="n">
        <v>76</v>
      </c>
      <c r="E73" s="3" t="n">
        <v>133</v>
      </c>
      <c r="F73" s="3" t="n">
        <v>244</v>
      </c>
      <c r="G73" s="3" t="n">
        <v>134</v>
      </c>
      <c r="H73" s="3" t="n">
        <v>114</v>
      </c>
      <c r="I73" s="3" t="n">
        <v>130</v>
      </c>
      <c r="J73" s="3" t="n">
        <v>118</v>
      </c>
      <c r="K73" s="3" t="n">
        <v>107</v>
      </c>
      <c r="L73" s="3" t="n"/>
      <c r="M73" s="3">
        <f>SUM(C73:L73)</f>
        <v/>
      </c>
    </row>
    <row r="74">
      <c r="A74" s="2" t="inlineStr">
        <is>
          <t>2026-10-29 07:00</t>
        </is>
      </c>
      <c r="B74" s="3" t="n">
        <v>7</v>
      </c>
      <c r="C74" s="3" t="n">
        <v>114</v>
      </c>
      <c r="D74" s="3" t="n">
        <v>76</v>
      </c>
      <c r="E74" s="3" t="n">
        <v>133</v>
      </c>
      <c r="F74" s="3" t="n">
        <v>244</v>
      </c>
      <c r="G74" s="3" t="n">
        <v>134</v>
      </c>
      <c r="H74" s="3" t="n">
        <v>114</v>
      </c>
      <c r="I74" s="3" t="n">
        <v>130</v>
      </c>
      <c r="J74" s="3" t="n">
        <v>118</v>
      </c>
      <c r="K74" s="3" t="n">
        <v>107</v>
      </c>
      <c r="L74" s="3" t="n"/>
      <c r="M74" s="3">
        <f>SUM(C74:L74)</f>
        <v/>
      </c>
    </row>
    <row r="75">
      <c r="A75" s="2" t="inlineStr">
        <is>
          <t>2026-10-29 08:00</t>
        </is>
      </c>
      <c r="B75" s="3" t="n">
        <v>7</v>
      </c>
      <c r="C75" s="3" t="n">
        <v>114</v>
      </c>
      <c r="D75" s="3" t="n">
        <v>76</v>
      </c>
      <c r="E75" s="3" t="n">
        <v>133</v>
      </c>
      <c r="F75" s="3" t="n">
        <v>244</v>
      </c>
      <c r="G75" s="3" t="n">
        <v>134</v>
      </c>
      <c r="H75" s="3" t="n">
        <v>114</v>
      </c>
      <c r="I75" s="3" t="n">
        <v>130</v>
      </c>
      <c r="J75" s="3" t="n">
        <v>118</v>
      </c>
      <c r="K75" s="3" t="n">
        <v>107</v>
      </c>
      <c r="L75" s="3" t="n">
        <v>0</v>
      </c>
      <c r="M75" s="3">
        <f>SUM(C75:L75)</f>
        <v/>
      </c>
    </row>
    <row r="76">
      <c r="A76" s="2" t="inlineStr">
        <is>
          <t>2026-10-29 09:00</t>
        </is>
      </c>
      <c r="B76" s="3" t="n">
        <v>7</v>
      </c>
      <c r="C76" s="3" t="n">
        <v>114</v>
      </c>
      <c r="D76" s="3" t="n">
        <v>76</v>
      </c>
      <c r="E76" s="3" t="n">
        <v>133</v>
      </c>
      <c r="F76" s="3" t="n">
        <v>244</v>
      </c>
      <c r="G76" s="3" t="n">
        <v>134</v>
      </c>
      <c r="H76" s="3" t="n">
        <v>114</v>
      </c>
      <c r="I76" s="3" t="n">
        <v>130</v>
      </c>
      <c r="J76" s="3" t="n">
        <v>118</v>
      </c>
      <c r="K76" s="3" t="n">
        <v>107</v>
      </c>
      <c r="L76" s="3" t="n">
        <v>39</v>
      </c>
      <c r="M76" s="3">
        <f>SUM(C76:L76)</f>
        <v/>
      </c>
    </row>
    <row r="77">
      <c r="A77" s="2" t="inlineStr">
        <is>
          <t>2026-10-29 10:00</t>
        </is>
      </c>
      <c r="B77" s="3" t="n">
        <v>7</v>
      </c>
      <c r="C77" s="3" t="n">
        <v>114</v>
      </c>
      <c r="D77" s="3" t="n">
        <v>76</v>
      </c>
      <c r="E77" s="3" t="n">
        <v>133</v>
      </c>
      <c r="F77" s="3" t="n">
        <v>244</v>
      </c>
      <c r="G77" s="3" t="n">
        <v>134</v>
      </c>
      <c r="H77" s="3" t="n">
        <v>114</v>
      </c>
      <c r="I77" s="3" t="n">
        <v>130</v>
      </c>
      <c r="J77" s="3" t="n">
        <v>118</v>
      </c>
      <c r="K77" s="3" t="n">
        <v>107</v>
      </c>
      <c r="L77" s="3" t="n">
        <v>109</v>
      </c>
      <c r="M77" s="3">
        <f>SUM(C77:L77)</f>
        <v/>
      </c>
    </row>
    <row r="78">
      <c r="A78" s="2" t="inlineStr">
        <is>
          <t>2026-10-29 11:00</t>
        </is>
      </c>
      <c r="B78" s="3" t="n">
        <v>7</v>
      </c>
      <c r="C78" s="3" t="n">
        <v>114</v>
      </c>
      <c r="D78" s="3" t="n">
        <v>76</v>
      </c>
      <c r="E78" s="3" t="n">
        <v>133</v>
      </c>
      <c r="F78" s="3" t="n">
        <v>244</v>
      </c>
      <c r="G78" s="3" t="n">
        <v>134</v>
      </c>
      <c r="H78" s="3" t="n">
        <v>114</v>
      </c>
      <c r="I78" s="3" t="n">
        <v>130</v>
      </c>
      <c r="J78" s="3" t="n">
        <v>118</v>
      </c>
      <c r="K78" s="3" t="n">
        <v>107</v>
      </c>
      <c r="L78" s="3" t="n">
        <v>110</v>
      </c>
      <c r="M78" s="3">
        <f>SUM(C78:L78)</f>
        <v/>
      </c>
    </row>
    <row r="79">
      <c r="A79" s="2" t="inlineStr">
        <is>
          <t>2026-10-29 12:00</t>
        </is>
      </c>
      <c r="B79" s="3" t="n">
        <v>7</v>
      </c>
      <c r="C79" s="3" t="n">
        <v>114</v>
      </c>
      <c r="D79" s="3" t="n">
        <v>76</v>
      </c>
      <c r="E79" s="3" t="n">
        <v>133</v>
      </c>
      <c r="F79" s="3" t="n">
        <v>244</v>
      </c>
      <c r="G79" s="3" t="n">
        <v>134</v>
      </c>
      <c r="H79" s="3" t="n">
        <v>114</v>
      </c>
      <c r="I79" s="3" t="n">
        <v>130</v>
      </c>
      <c r="J79" s="3" t="n">
        <v>118</v>
      </c>
      <c r="K79" s="3" t="n">
        <v>107</v>
      </c>
      <c r="L79" s="3" t="n">
        <v>110</v>
      </c>
      <c r="M79" s="3">
        <f>SUM(C79:L79)</f>
        <v/>
      </c>
    </row>
    <row r="80">
      <c r="A80" s="2" t="inlineStr">
        <is>
          <t>2026-10-29 13:00</t>
        </is>
      </c>
      <c r="B80" s="3" t="n">
        <v>7</v>
      </c>
      <c r="C80" s="3" t="n">
        <v>114</v>
      </c>
      <c r="D80" s="3" t="n">
        <v>76</v>
      </c>
      <c r="E80" s="3" t="n">
        <v>133</v>
      </c>
      <c r="F80" s="3" t="n">
        <v>244</v>
      </c>
      <c r="G80" s="3" t="n">
        <v>134</v>
      </c>
      <c r="H80" s="3" t="n">
        <v>114</v>
      </c>
      <c r="I80" s="3" t="n">
        <v>130</v>
      </c>
      <c r="J80" s="3" t="n">
        <v>118</v>
      </c>
      <c r="K80" s="3" t="n">
        <v>107</v>
      </c>
      <c r="L80" s="3" t="n">
        <v>111</v>
      </c>
      <c r="M80" s="3">
        <f>SUM(C80:L80)</f>
        <v/>
      </c>
    </row>
    <row r="81">
      <c r="A81" s="2" t="inlineStr">
        <is>
          <t>2026-10-29 14:00</t>
        </is>
      </c>
      <c r="B81" s="3" t="n">
        <v>7</v>
      </c>
      <c r="C81" s="3" t="n">
        <v>114</v>
      </c>
      <c r="D81" s="3" t="n">
        <v>76</v>
      </c>
      <c r="E81" s="3" t="n">
        <v>133</v>
      </c>
      <c r="F81" s="3" t="n">
        <v>244</v>
      </c>
      <c r="G81" s="3" t="n">
        <v>134</v>
      </c>
      <c r="H81" s="3" t="n">
        <v>114</v>
      </c>
      <c r="I81" s="3" t="n">
        <v>130</v>
      </c>
      <c r="J81" s="3" t="n">
        <v>118</v>
      </c>
      <c r="K81" s="3" t="n">
        <v>107</v>
      </c>
      <c r="L81" s="3" t="n">
        <v>111</v>
      </c>
      <c r="M81" s="3">
        <f>SUM(C81:L81)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Gel des pensions : oui</t>
        </is>
      </c>
      <c r="C1" s="1" t="inlineStr">
        <is>
          <t>10-22 Couper les réseaux soc</t>
        </is>
      </c>
      <c r="D1" s="1" t="inlineStr">
        <is>
          <t>10-24 À toi de juger : il fa</t>
        </is>
      </c>
      <c r="E1" s="1" t="inlineStr">
        <is>
          <t>10-24 « Oui, nous avons perd</t>
        </is>
      </c>
      <c r="F1" s="1" t="inlineStr">
        <is>
          <t>10-24 Cinq infos de la semai</t>
        </is>
      </c>
      <c r="G1" s="1" t="inlineStr">
        <is>
          <t>10-25 Des millions publics p</t>
        </is>
      </c>
      <c r="H1" s="1" t="inlineStr">
        <is>
          <t>10-25 Vendredi, Macron au co</t>
        </is>
      </c>
      <c r="I1" s="1" t="inlineStr">
        <is>
          <t xml:space="preserve">10-25 2 513 gardes à vue et </t>
        </is>
      </c>
      <c r="J1" s="1" t="inlineStr">
        <is>
          <t>10-27 54 milliards d'efforts</t>
        </is>
      </c>
      <c r="K1" s="1" t="inlineStr">
        <is>
          <t>10-29 Macron demande aux bra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IF('Heure par heure'!G53="","",'Heure par heure'!G53-N('Heure par heure'!G52))</f>
        <v/>
      </c>
      <c r="G53" s="3">
        <f>IF('Heure par heure'!H53="","",'Heure par heure'!H53-N('Heure par heure'!H52))</f>
        <v/>
      </c>
      <c r="H53" s="3">
        <f>IF('Heure par heure'!I53="","",'Heure par heure'!I53-N('Heure par heure'!I52))</f>
        <v/>
      </c>
      <c r="I53" s="3">
        <f>IF('Heure par heure'!J53="","",'Heure par heure'!J53-N('Heure par heure'!J52))</f>
        <v/>
      </c>
      <c r="J53" s="3">
        <f>IF('Heure par heure'!K53="","",'Heure par heure'!K53-N('Heure par heure'!K52))</f>
        <v/>
      </c>
      <c r="K53" s="3">
        <f>IF('Heure par heure'!L53="","",'Heure par heure'!L53-N('Heure par heure'!L52))</f>
        <v/>
      </c>
      <c r="L53" s="3">
        <f>SUM(B53:K53)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IF('Heure par heure'!G54="","",'Heure par heure'!G54-N('Heure par heure'!G53))</f>
        <v/>
      </c>
      <c r="G54" s="3">
        <f>IF('Heure par heure'!H54="","",'Heure par heure'!H54-N('Heure par heure'!H53))</f>
        <v/>
      </c>
      <c r="H54" s="3">
        <f>IF('Heure par heure'!I54="","",'Heure par heure'!I54-N('Heure par heure'!I53))</f>
        <v/>
      </c>
      <c r="I54" s="3">
        <f>IF('Heure par heure'!J54="","",'Heure par heure'!J54-N('Heure par heure'!J53))</f>
        <v/>
      </c>
      <c r="J54" s="3">
        <f>IF('Heure par heure'!K54="","",'Heure par heure'!K54-N('Heure par heure'!K53))</f>
        <v/>
      </c>
      <c r="K54" s="3">
        <f>IF('Heure par heure'!L54="","",'Heure par heure'!L54-N('Heure par heure'!L53))</f>
        <v/>
      </c>
      <c r="L54" s="3">
        <f>SUM(B54:K54)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IF('Heure par heure'!G55="","",'Heure par heure'!G55-N('Heure par heure'!G54))</f>
        <v/>
      </c>
      <c r="G55" s="3">
        <f>IF('Heure par heure'!H55="","",'Heure par heure'!H55-N('Heure par heure'!H54))</f>
        <v/>
      </c>
      <c r="H55" s="3">
        <f>IF('Heure par heure'!I55="","",'Heure par heure'!I55-N('Heure par heure'!I54))</f>
        <v/>
      </c>
      <c r="I55" s="3">
        <f>IF('Heure par heure'!J55="","",'Heure par heure'!J55-N('Heure par heure'!J54))</f>
        <v/>
      </c>
      <c r="J55" s="3">
        <f>IF('Heure par heure'!K55="","",'Heure par heure'!K55-N('Heure par heure'!K54))</f>
        <v/>
      </c>
      <c r="K55" s="3">
        <f>IF('Heure par heure'!L55="","",'Heure par heure'!L55-N('Heure par heure'!L54))</f>
        <v/>
      </c>
      <c r="L55" s="3">
        <f>SUM(B55:K55)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IF('Heure par heure'!G56="","",'Heure par heure'!G56-N('Heure par heure'!G55))</f>
        <v/>
      </c>
      <c r="G56" s="3">
        <f>IF('Heure par heure'!H56="","",'Heure par heure'!H56-N('Heure par heure'!H55))</f>
        <v/>
      </c>
      <c r="H56" s="3">
        <f>IF('Heure par heure'!I56="","",'Heure par heure'!I56-N('Heure par heure'!I55))</f>
        <v/>
      </c>
      <c r="I56" s="3">
        <f>IF('Heure par heure'!J56="","",'Heure par heure'!J56-N('Heure par heure'!J55))</f>
        <v/>
      </c>
      <c r="J56" s="3">
        <f>IF('Heure par heure'!K56="","",'Heure par heure'!K56-N('Heure par heure'!K55))</f>
        <v/>
      </c>
      <c r="K56" s="3">
        <f>IF('Heure par heure'!L56="","",'Heure par heure'!L56-N('Heure par heure'!L55))</f>
        <v/>
      </c>
      <c r="L56" s="3">
        <f>SUM(B56:K56)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IF('Heure par heure'!G57="","",'Heure par heure'!G57-N('Heure par heure'!G56))</f>
        <v/>
      </c>
      <c r="G57" s="3">
        <f>IF('Heure par heure'!H57="","",'Heure par heure'!H57-N('Heure par heure'!H56))</f>
        <v/>
      </c>
      <c r="H57" s="3">
        <f>IF('Heure par heure'!I57="","",'Heure par heure'!I57-N('Heure par heure'!I56))</f>
        <v/>
      </c>
      <c r="I57" s="3">
        <f>IF('Heure par heure'!J57="","",'Heure par heure'!J57-N('Heure par heure'!J56))</f>
        <v/>
      </c>
      <c r="J57" s="3">
        <f>IF('Heure par heure'!K57="","",'Heure par heure'!K57-N('Heure par heure'!K56))</f>
        <v/>
      </c>
      <c r="K57" s="3">
        <f>IF('Heure par heure'!L57="","",'Heure par heure'!L57-N('Heure par heure'!L56))</f>
        <v/>
      </c>
      <c r="L57" s="3">
        <f>SUM(B57:K57)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IF('Heure par heure'!G58="","",'Heure par heure'!G58-N('Heure par heure'!G57))</f>
        <v/>
      </c>
      <c r="G58" s="3">
        <f>IF('Heure par heure'!H58="","",'Heure par heure'!H58-N('Heure par heure'!H57))</f>
        <v/>
      </c>
      <c r="H58" s="3">
        <f>IF('Heure par heure'!I58="","",'Heure par heure'!I58-N('Heure par heure'!I57))</f>
        <v/>
      </c>
      <c r="I58" s="3">
        <f>IF('Heure par heure'!J58="","",'Heure par heure'!J58-N('Heure par heure'!J57))</f>
        <v/>
      </c>
      <c r="J58" s="3">
        <f>IF('Heure par heure'!K58="","",'Heure par heure'!K58-N('Heure par heure'!K57))</f>
        <v/>
      </c>
      <c r="K58" s="3">
        <f>IF('Heure par heure'!L58="","",'Heure par heure'!L58-N('Heure par heure'!L57))</f>
        <v/>
      </c>
      <c r="L58" s="3">
        <f>SUM(B58:K58)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IF('Heure par heure'!G59="","",'Heure par heure'!G59-N('Heure par heure'!G58))</f>
        <v/>
      </c>
      <c r="G59" s="3">
        <f>IF('Heure par heure'!H59="","",'Heure par heure'!H59-N('Heure par heure'!H58))</f>
        <v/>
      </c>
      <c r="H59" s="3">
        <f>IF('Heure par heure'!I59="","",'Heure par heure'!I59-N('Heure par heure'!I58))</f>
        <v/>
      </c>
      <c r="I59" s="3">
        <f>IF('Heure par heure'!J59="","",'Heure par heure'!J59-N('Heure par heure'!J58))</f>
        <v/>
      </c>
      <c r="J59" s="3">
        <f>IF('Heure par heure'!K59="","",'Heure par heure'!K59-N('Heure par heure'!K58))</f>
        <v/>
      </c>
      <c r="K59" s="3">
        <f>IF('Heure par heure'!L59="","",'Heure par heure'!L59-N('Heure par heure'!L58))</f>
        <v/>
      </c>
      <c r="L59" s="3">
        <f>SUM(B59:K59)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IF('Heure par heure'!G60="","",'Heure par heure'!G60-N('Heure par heure'!G59))</f>
        <v/>
      </c>
      <c r="G60" s="3">
        <f>IF('Heure par heure'!H60="","",'Heure par heure'!H60-N('Heure par heure'!H59))</f>
        <v/>
      </c>
      <c r="H60" s="3">
        <f>IF('Heure par heure'!I60="","",'Heure par heure'!I60-N('Heure par heure'!I59))</f>
        <v/>
      </c>
      <c r="I60" s="3">
        <f>IF('Heure par heure'!J60="","",'Heure par heure'!J60-N('Heure par heure'!J59))</f>
        <v/>
      </c>
      <c r="J60" s="3">
        <f>IF('Heure par heure'!K60="","",'Heure par heure'!K60-N('Heure par heure'!K59))</f>
        <v/>
      </c>
      <c r="K60" s="3">
        <f>IF('Heure par heure'!L60="","",'Heure par heure'!L60-N('Heure par heure'!L59))</f>
        <v/>
      </c>
      <c r="L60" s="3">
        <f>SUM(B60:K60)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IF('Heure par heure'!G61="","",'Heure par heure'!G61-N('Heure par heure'!G60))</f>
        <v/>
      </c>
      <c r="G61" s="3">
        <f>IF('Heure par heure'!H61="","",'Heure par heure'!H61-N('Heure par heure'!H60))</f>
        <v/>
      </c>
      <c r="H61" s="3">
        <f>IF('Heure par heure'!I61="","",'Heure par heure'!I61-N('Heure par heure'!I60))</f>
        <v/>
      </c>
      <c r="I61" s="3">
        <f>IF('Heure par heure'!J61="","",'Heure par heure'!J61-N('Heure par heure'!J60))</f>
        <v/>
      </c>
      <c r="J61" s="3">
        <f>IF('Heure par heure'!K61="","",'Heure par heure'!K61-N('Heure par heure'!K60))</f>
        <v/>
      </c>
      <c r="K61" s="3">
        <f>IF('Heure par heure'!L61="","",'Heure par heure'!L61-N('Heure par heure'!L60))</f>
        <v/>
      </c>
      <c r="L61" s="3">
        <f>SUM(B61:K61)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IF('Heure par heure'!G62="","",'Heure par heure'!G62-N('Heure par heure'!G61))</f>
        <v/>
      </c>
      <c r="G62" s="3">
        <f>IF('Heure par heure'!H62="","",'Heure par heure'!H62-N('Heure par heure'!H61))</f>
        <v/>
      </c>
      <c r="H62" s="3">
        <f>IF('Heure par heure'!I62="","",'Heure par heure'!I62-N('Heure par heure'!I61))</f>
        <v/>
      </c>
      <c r="I62" s="3">
        <f>IF('Heure par heure'!J62="","",'Heure par heure'!J62-N('Heure par heure'!J61))</f>
        <v/>
      </c>
      <c r="J62" s="3">
        <f>IF('Heure par heure'!K62="","",'Heure par heure'!K62-N('Heure par heure'!K61))</f>
        <v/>
      </c>
      <c r="K62" s="3">
        <f>IF('Heure par heure'!L62="","",'Heure par heure'!L62-N('Heure par heure'!L61))</f>
        <v/>
      </c>
      <c r="L62" s="3">
        <f>SUM(B62:K62)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IF('Heure par heure'!G63="","",'Heure par heure'!G63-N('Heure par heure'!G62))</f>
        <v/>
      </c>
      <c r="G63" s="3">
        <f>IF('Heure par heure'!H63="","",'Heure par heure'!H63-N('Heure par heure'!H62))</f>
        <v/>
      </c>
      <c r="H63" s="3">
        <f>IF('Heure par heure'!I63="","",'Heure par heure'!I63-N('Heure par heure'!I62))</f>
        <v/>
      </c>
      <c r="I63" s="3">
        <f>IF('Heure par heure'!J63="","",'Heure par heure'!J63-N('Heure par heure'!J62))</f>
        <v/>
      </c>
      <c r="J63" s="3">
        <f>IF('Heure par heure'!K63="","",'Heure par heure'!K63-N('Heure par heure'!K62))</f>
        <v/>
      </c>
      <c r="K63" s="3">
        <f>IF('Heure par heure'!L63="","",'Heure par heure'!L63-N('Heure par heure'!L62))</f>
        <v/>
      </c>
      <c r="L63" s="3">
        <f>SUM(B63:K63)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IF('Heure par heure'!G64="","",'Heure par heure'!G64-N('Heure par heure'!G63))</f>
        <v/>
      </c>
      <c r="G64" s="3">
        <f>IF('Heure par heure'!H64="","",'Heure par heure'!H64-N('Heure par heure'!H63))</f>
        <v/>
      </c>
      <c r="H64" s="3">
        <f>IF('Heure par heure'!I64="","",'Heure par heure'!I64-N('Heure par heure'!I63))</f>
        <v/>
      </c>
      <c r="I64" s="3">
        <f>IF('Heure par heure'!J64="","",'Heure par heure'!J64-N('Heure par heure'!J63))</f>
        <v/>
      </c>
      <c r="J64" s="3">
        <f>IF('Heure par heure'!K64="","",'Heure par heure'!K64-N('Heure par heure'!K63))</f>
        <v/>
      </c>
      <c r="K64" s="3">
        <f>IF('Heure par heure'!L64="","",'Heure par heure'!L64-N('Heure par heure'!L63))</f>
        <v/>
      </c>
      <c r="L64" s="3">
        <f>SUM(B64:K64)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IF('Heure par heure'!G65="","",'Heure par heure'!G65-N('Heure par heure'!G64))</f>
        <v/>
      </c>
      <c r="G65" s="3">
        <f>IF('Heure par heure'!H65="","",'Heure par heure'!H65-N('Heure par heure'!H64))</f>
        <v/>
      </c>
      <c r="H65" s="3">
        <f>IF('Heure par heure'!I65="","",'Heure par heure'!I65-N('Heure par heure'!I64))</f>
        <v/>
      </c>
      <c r="I65" s="3">
        <f>IF('Heure par heure'!J65="","",'Heure par heure'!J65-N('Heure par heure'!J64))</f>
        <v/>
      </c>
      <c r="J65" s="3">
        <f>IF('Heure par heure'!K65="","",'Heure par heure'!K65-N('Heure par heure'!K64))</f>
        <v/>
      </c>
      <c r="K65" s="3">
        <f>IF('Heure par heure'!L65="","",'Heure par heure'!L65-N('Heure par heure'!L64))</f>
        <v/>
      </c>
      <c r="L65" s="3">
        <f>SUM(B65:K65)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IF('Heure par heure'!G66="","",'Heure par heure'!G66-N('Heure par heure'!G65))</f>
        <v/>
      </c>
      <c r="G66" s="3">
        <f>IF('Heure par heure'!H66="","",'Heure par heure'!H66-N('Heure par heure'!H65))</f>
        <v/>
      </c>
      <c r="H66" s="3">
        <f>IF('Heure par heure'!I66="","",'Heure par heure'!I66-N('Heure par heure'!I65))</f>
        <v/>
      </c>
      <c r="I66" s="3">
        <f>IF('Heure par heure'!J66="","",'Heure par heure'!J66-N('Heure par heure'!J65))</f>
        <v/>
      </c>
      <c r="J66" s="3">
        <f>IF('Heure par heure'!K66="","",'Heure par heure'!K66-N('Heure par heure'!K65))</f>
        <v/>
      </c>
      <c r="K66" s="3">
        <f>IF('Heure par heure'!L66="","",'Heure par heure'!L66-N('Heure par heure'!L65))</f>
        <v/>
      </c>
      <c r="L66" s="3">
        <f>SUM(B66:K66)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IF('Heure par heure'!G67="","",'Heure par heure'!G67-N('Heure par heure'!G66))</f>
        <v/>
      </c>
      <c r="G67" s="3">
        <f>IF('Heure par heure'!H67="","",'Heure par heure'!H67-N('Heure par heure'!H66))</f>
        <v/>
      </c>
      <c r="H67" s="3">
        <f>IF('Heure par heure'!I67="","",'Heure par heure'!I67-N('Heure par heure'!I66))</f>
        <v/>
      </c>
      <c r="I67" s="3">
        <f>IF('Heure par heure'!J67="","",'Heure par heure'!J67-N('Heure par heure'!J66))</f>
        <v/>
      </c>
      <c r="J67" s="3">
        <f>IF('Heure par heure'!K67="","",'Heure par heure'!K67-N('Heure par heure'!K66))</f>
        <v/>
      </c>
      <c r="K67" s="3">
        <f>IF('Heure par heure'!L67="","",'Heure par heure'!L67-N('Heure par heure'!L66))</f>
        <v/>
      </c>
      <c r="L67" s="3">
        <f>SUM(B67:K67)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IF('Heure par heure'!G68="","",'Heure par heure'!G68-N('Heure par heure'!G67))</f>
        <v/>
      </c>
      <c r="G68" s="3">
        <f>IF('Heure par heure'!H68="","",'Heure par heure'!H68-N('Heure par heure'!H67))</f>
        <v/>
      </c>
      <c r="H68" s="3">
        <f>IF('Heure par heure'!I68="","",'Heure par heure'!I68-N('Heure par heure'!I67))</f>
        <v/>
      </c>
      <c r="I68" s="3">
        <f>IF('Heure par heure'!J68="","",'Heure par heure'!J68-N('Heure par heure'!J67))</f>
        <v/>
      </c>
      <c r="J68" s="3">
        <f>IF('Heure par heure'!K68="","",'Heure par heure'!K68-N('Heure par heure'!K67))</f>
        <v/>
      </c>
      <c r="K68" s="3">
        <f>IF('Heure par heure'!L68="","",'Heure par heure'!L68-N('Heure par heure'!L67))</f>
        <v/>
      </c>
      <c r="L68" s="3">
        <f>SUM(B68:K68)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IF('Heure par heure'!G69="","",'Heure par heure'!G69-N('Heure par heure'!G68))</f>
        <v/>
      </c>
      <c r="G69" s="3">
        <f>IF('Heure par heure'!H69="","",'Heure par heure'!H69-N('Heure par heure'!H68))</f>
        <v/>
      </c>
      <c r="H69" s="3">
        <f>IF('Heure par heure'!I69="","",'Heure par heure'!I69-N('Heure par heure'!I68))</f>
        <v/>
      </c>
      <c r="I69" s="3">
        <f>IF('Heure par heure'!J69="","",'Heure par heure'!J69-N('Heure par heure'!J68))</f>
        <v/>
      </c>
      <c r="J69" s="3">
        <f>IF('Heure par heure'!K69="","",'Heure par heure'!K69-N('Heure par heure'!K68))</f>
        <v/>
      </c>
      <c r="K69" s="3">
        <f>IF('Heure par heure'!L69="","",'Heure par heure'!L69-N('Heure par heure'!L68))</f>
        <v/>
      </c>
      <c r="L69" s="3">
        <f>SUM(B69:K69)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IF('Heure par heure'!G70="","",'Heure par heure'!G70-N('Heure par heure'!G69))</f>
        <v/>
      </c>
      <c r="G70" s="3">
        <f>IF('Heure par heure'!H70="","",'Heure par heure'!H70-N('Heure par heure'!H69))</f>
        <v/>
      </c>
      <c r="H70" s="3">
        <f>IF('Heure par heure'!I70="","",'Heure par heure'!I70-N('Heure par heure'!I69))</f>
        <v/>
      </c>
      <c r="I70" s="3">
        <f>IF('Heure par heure'!J70="","",'Heure par heure'!J70-N('Heure par heure'!J69))</f>
        <v/>
      </c>
      <c r="J70" s="3">
        <f>IF('Heure par heure'!K70="","",'Heure par heure'!K70-N('Heure par heure'!K69))</f>
        <v/>
      </c>
      <c r="K70" s="3">
        <f>IF('Heure par heure'!L70="","",'Heure par heure'!L70-N('Heure par heure'!L69))</f>
        <v/>
      </c>
      <c r="L70" s="3">
        <f>SUM(B70:K70)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IF('Heure par heure'!G71="","",'Heure par heure'!G71-N('Heure par heure'!G70))</f>
        <v/>
      </c>
      <c r="G71" s="3">
        <f>IF('Heure par heure'!H71="","",'Heure par heure'!H71-N('Heure par heure'!H70))</f>
        <v/>
      </c>
      <c r="H71" s="3">
        <f>IF('Heure par heure'!I71="","",'Heure par heure'!I71-N('Heure par heure'!I70))</f>
        <v/>
      </c>
      <c r="I71" s="3">
        <f>IF('Heure par heure'!J71="","",'Heure par heure'!J71-N('Heure par heure'!J70))</f>
        <v/>
      </c>
      <c r="J71" s="3">
        <f>IF('Heure par heure'!K71="","",'Heure par heure'!K71-N('Heure par heure'!K70))</f>
        <v/>
      </c>
      <c r="K71" s="3">
        <f>IF('Heure par heure'!L71="","",'Heure par heure'!L71-N('Heure par heure'!L70))</f>
        <v/>
      </c>
      <c r="L71" s="3">
        <f>SUM(B71:K71)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IF('Heure par heure'!G72="","",'Heure par heure'!G72-N('Heure par heure'!G71))</f>
        <v/>
      </c>
      <c r="G72" s="3">
        <f>IF('Heure par heure'!H72="","",'Heure par heure'!H72-N('Heure par heure'!H71))</f>
        <v/>
      </c>
      <c r="H72" s="3">
        <f>IF('Heure par heure'!I72="","",'Heure par heure'!I72-N('Heure par heure'!I71))</f>
        <v/>
      </c>
      <c r="I72" s="3">
        <f>IF('Heure par heure'!J72="","",'Heure par heure'!J72-N('Heure par heure'!J71))</f>
        <v/>
      </c>
      <c r="J72" s="3">
        <f>IF('Heure par heure'!K72="","",'Heure par heure'!K72-N('Heure par heure'!K71))</f>
        <v/>
      </c>
      <c r="K72" s="3">
        <f>IF('Heure par heure'!L72="","",'Heure par heure'!L72-N('Heure par heure'!L71))</f>
        <v/>
      </c>
      <c r="L72" s="3">
        <f>SUM(B72:K72)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IF('Heure par heure'!G73="","",'Heure par heure'!G73-N('Heure par heure'!G72))</f>
        <v/>
      </c>
      <c r="G73" s="3">
        <f>IF('Heure par heure'!H73="","",'Heure par heure'!H73-N('Heure par heure'!H72))</f>
        <v/>
      </c>
      <c r="H73" s="3">
        <f>IF('Heure par heure'!I73="","",'Heure par heure'!I73-N('Heure par heure'!I72))</f>
        <v/>
      </c>
      <c r="I73" s="3">
        <f>IF('Heure par heure'!J73="","",'Heure par heure'!J73-N('Heure par heure'!J72))</f>
        <v/>
      </c>
      <c r="J73" s="3">
        <f>IF('Heure par heure'!K73="","",'Heure par heure'!K73-N('Heure par heure'!K72))</f>
        <v/>
      </c>
      <c r="K73" s="3">
        <f>IF('Heure par heure'!L73="","",'Heure par heure'!L73-N('Heure par heure'!L72))</f>
        <v/>
      </c>
      <c r="L73" s="3">
        <f>SUM(B73:K73)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IF('Heure par heure'!G74="","",'Heure par heure'!G74-N('Heure par heure'!G73))</f>
        <v/>
      </c>
      <c r="G74" s="3">
        <f>IF('Heure par heure'!H74="","",'Heure par heure'!H74-N('Heure par heure'!H73))</f>
        <v/>
      </c>
      <c r="H74" s="3">
        <f>IF('Heure par heure'!I74="","",'Heure par heure'!I74-N('Heure par heure'!I73))</f>
        <v/>
      </c>
      <c r="I74" s="3">
        <f>IF('Heure par heure'!J74="","",'Heure par heure'!J74-N('Heure par heure'!J73))</f>
        <v/>
      </c>
      <c r="J74" s="3">
        <f>IF('Heure par heure'!K74="","",'Heure par heure'!K74-N('Heure par heure'!K73))</f>
        <v/>
      </c>
      <c r="K74" s="3">
        <f>IF('Heure par heure'!L74="","",'Heure par heure'!L74-N('Heure par heure'!L73))</f>
        <v/>
      </c>
      <c r="L74" s="3">
        <f>SUM(B74:K74)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IF('Heure par heure'!G75="","",'Heure par heure'!G75-N('Heure par heure'!G74))</f>
        <v/>
      </c>
      <c r="G75" s="3">
        <f>IF('Heure par heure'!H75="","",'Heure par heure'!H75-N('Heure par heure'!H74))</f>
        <v/>
      </c>
      <c r="H75" s="3">
        <f>IF('Heure par heure'!I75="","",'Heure par heure'!I75-N('Heure par heure'!I74))</f>
        <v/>
      </c>
      <c r="I75" s="3">
        <f>IF('Heure par heure'!J75="","",'Heure par heure'!J75-N('Heure par heure'!J74))</f>
        <v/>
      </c>
      <c r="J75" s="3">
        <f>IF('Heure par heure'!K75="","",'Heure par heure'!K75-N('Heure par heure'!K74))</f>
        <v/>
      </c>
      <c r="K75" s="3">
        <f>IF('Heure par heure'!L75="","",'Heure par heure'!L75-N('Heure par heure'!L74))</f>
        <v/>
      </c>
      <c r="L75" s="3">
        <f>SUM(B75:K75)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IF('Heure par heure'!G76="","",'Heure par heure'!G76-N('Heure par heure'!G75))</f>
        <v/>
      </c>
      <c r="G76" s="3">
        <f>IF('Heure par heure'!H76="","",'Heure par heure'!H76-N('Heure par heure'!H75))</f>
        <v/>
      </c>
      <c r="H76" s="3">
        <f>IF('Heure par heure'!I76="","",'Heure par heure'!I76-N('Heure par heure'!I75))</f>
        <v/>
      </c>
      <c r="I76" s="3">
        <f>IF('Heure par heure'!J76="","",'Heure par heure'!J76-N('Heure par heure'!J75))</f>
        <v/>
      </c>
      <c r="J76" s="3">
        <f>IF('Heure par heure'!K76="","",'Heure par heure'!K76-N('Heure par heure'!K75))</f>
        <v/>
      </c>
      <c r="K76" s="3">
        <f>IF('Heure par heure'!L76="","",'Heure par heure'!L76-N('Heure par heure'!L75))</f>
        <v/>
      </c>
      <c r="L76" s="3">
        <f>SUM(B76:K76)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IF('Heure par heure'!G77="","",'Heure par heure'!G77-N('Heure par heure'!G76))</f>
        <v/>
      </c>
      <c r="G77" s="3">
        <f>IF('Heure par heure'!H77="","",'Heure par heure'!H77-N('Heure par heure'!H76))</f>
        <v/>
      </c>
      <c r="H77" s="3">
        <f>IF('Heure par heure'!I77="","",'Heure par heure'!I77-N('Heure par heure'!I76))</f>
        <v/>
      </c>
      <c r="I77" s="3">
        <f>IF('Heure par heure'!J77="","",'Heure par heure'!J77-N('Heure par heure'!J76))</f>
        <v/>
      </c>
      <c r="J77" s="3">
        <f>IF('Heure par heure'!K77="","",'Heure par heure'!K77-N('Heure par heure'!K76))</f>
        <v/>
      </c>
      <c r="K77" s="3">
        <f>IF('Heure par heure'!L77="","",'Heure par heure'!L77-N('Heure par heure'!L76))</f>
        <v/>
      </c>
      <c r="L77" s="3">
        <f>SUM(B77:K77)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IF('Heure par heure'!F78="","",'Heure par heure'!F78-N('Heure par heure'!F77))</f>
        <v/>
      </c>
      <c r="F78" s="3">
        <f>IF('Heure par heure'!G78="","",'Heure par heure'!G78-N('Heure par heure'!G77))</f>
        <v/>
      </c>
      <c r="G78" s="3">
        <f>IF('Heure par heure'!H78="","",'Heure par heure'!H78-N('Heure par heure'!H77))</f>
        <v/>
      </c>
      <c r="H78" s="3">
        <f>IF('Heure par heure'!I78="","",'Heure par heure'!I78-N('Heure par heure'!I77))</f>
        <v/>
      </c>
      <c r="I78" s="3">
        <f>IF('Heure par heure'!J78="","",'Heure par heure'!J78-N('Heure par heure'!J77))</f>
        <v/>
      </c>
      <c r="J78" s="3">
        <f>IF('Heure par heure'!K78="","",'Heure par heure'!K78-N('Heure par heure'!K77))</f>
        <v/>
      </c>
      <c r="K78" s="3">
        <f>IF('Heure par heure'!L78="","",'Heure par heure'!L78-N('Heure par heure'!L77))</f>
        <v/>
      </c>
      <c r="L78" s="3">
        <f>SUM(B78:K78)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IF('Heure par heure'!F79="","",'Heure par heure'!F79-N('Heure par heure'!F78))</f>
        <v/>
      </c>
      <c r="F79" s="3">
        <f>IF('Heure par heure'!G79="","",'Heure par heure'!G79-N('Heure par heure'!G78))</f>
        <v/>
      </c>
      <c r="G79" s="3">
        <f>IF('Heure par heure'!H79="","",'Heure par heure'!H79-N('Heure par heure'!H78))</f>
        <v/>
      </c>
      <c r="H79" s="3">
        <f>IF('Heure par heure'!I79="","",'Heure par heure'!I79-N('Heure par heure'!I78))</f>
        <v/>
      </c>
      <c r="I79" s="3">
        <f>IF('Heure par heure'!J79="","",'Heure par heure'!J79-N('Heure par heure'!J78))</f>
        <v/>
      </c>
      <c r="J79" s="3">
        <f>IF('Heure par heure'!K79="","",'Heure par heure'!K79-N('Heure par heure'!K78))</f>
        <v/>
      </c>
      <c r="K79" s="3">
        <f>IF('Heure par heure'!L79="","",'Heure par heure'!L79-N('Heure par heure'!L78))</f>
        <v/>
      </c>
      <c r="L79" s="3">
        <f>SUM(B79:K79)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IF('Heure par heure'!F80="","",'Heure par heure'!F80-N('Heure par heure'!F79))</f>
        <v/>
      </c>
      <c r="F80" s="3">
        <f>IF('Heure par heure'!G80="","",'Heure par heure'!G80-N('Heure par heure'!G79))</f>
        <v/>
      </c>
      <c r="G80" s="3">
        <f>IF('Heure par heure'!H80="","",'Heure par heure'!H80-N('Heure par heure'!H79))</f>
        <v/>
      </c>
      <c r="H80" s="3">
        <f>IF('Heure par heure'!I80="","",'Heure par heure'!I80-N('Heure par heure'!I79))</f>
        <v/>
      </c>
      <c r="I80" s="3">
        <f>IF('Heure par heure'!J80="","",'Heure par heure'!J80-N('Heure par heure'!J79))</f>
        <v/>
      </c>
      <c r="J80" s="3">
        <f>IF('Heure par heure'!K80="","",'Heure par heure'!K80-N('Heure par heure'!K79))</f>
        <v/>
      </c>
      <c r="K80" s="3">
        <f>IF('Heure par heure'!L80="","",'Heure par heure'!L80-N('Heure par heure'!L79))</f>
        <v/>
      </c>
      <c r="L80" s="3">
        <f>SUM(B80:K80)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IF('Heure par heure'!F81="","",'Heure par heure'!F81-N('Heure par heure'!F80))</f>
        <v/>
      </c>
      <c r="F81" s="3">
        <f>IF('Heure par heure'!G81="","",'Heure par heure'!G81-N('Heure par heure'!G80))</f>
        <v/>
      </c>
      <c r="G81" s="3">
        <f>IF('Heure par heure'!H81="","",'Heure par heure'!H81-N('Heure par heure'!H80))</f>
        <v/>
      </c>
      <c r="H81" s="3">
        <f>IF('Heure par heure'!I81="","",'Heure par heure'!I81-N('Heure par heure'!I80))</f>
        <v/>
      </c>
      <c r="I81" s="3">
        <f>IF('Heure par heure'!J81="","",'Heure par heure'!J81-N('Heure par heure'!J80))</f>
        <v/>
      </c>
      <c r="J81" s="3">
        <f>IF('Heure par heure'!K81="","",'Heure par heure'!K81-N('Heure par heure'!K80))</f>
        <v/>
      </c>
      <c r="K81" s="3">
        <f>IF('Heure par heure'!L81="","",'Heure par heure'!L81-N('Heure par heure'!L80))</f>
        <v/>
      </c>
      <c r="L81" s="3">
        <f>SUM(B81:K81)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1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  <row r="49">
      <c r="A49" s="2" t="inlineStr">
        <is>
          <t>2026-10-29 05:38</t>
        </is>
      </c>
      <c r="B49" s="3" t="n">
        <v>0</v>
      </c>
      <c r="C49" s="3" t="n">
        <v>0</v>
      </c>
      <c r="D49" s="3" t="n">
        <v>0</v>
      </c>
      <c r="E49" s="3" t="n">
        <v>0</v>
      </c>
      <c r="F49" s="3" t="n">
        <v>0</v>
      </c>
      <c r="G49" s="3" t="n">
        <v>0</v>
      </c>
      <c r="H49" s="3" t="n">
        <v>0</v>
      </c>
      <c r="I49" s="2" t="inlineStr">
        <is>
          <t>ouvrir</t>
        </is>
      </c>
    </row>
    <row r="50">
      <c r="A50" s="2" t="inlineStr">
        <is>
          <t>2026-10-29 07:55</t>
        </is>
      </c>
      <c r="B50" s="3" t="n">
        <v>0</v>
      </c>
      <c r="C50" s="3" t="n">
        <v>0</v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</hyperlinks>
  <pageMargins left="0.75" right="0.75" top="1" bottom="1" header="0.5" footer="0.5"/>
  <drawing xmlns:r="http://schemas.openxmlformats.org/officeDocument/2006/relationships" r:id="rId5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2026-10-29T13:55:13Z</dcterms:created>
  <dcterms:modified xsi:type="dcterms:W3CDTF">2026-10-29T13:55:13Z</dcterms:modified>
</cp:coreProperties>
</file>