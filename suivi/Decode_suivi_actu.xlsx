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jour'!$E$2:$E$14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jour'!$L$2:$L$14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jour'!$F$2:$F$14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jour'!$H$2:$H$14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jour'!$C$2:$C$14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vidéo'!$B$2:$B$14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vidéo'!$C$2:$C$14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vidéo'!$D$2:$D$14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vidéo'!$E$2:$E$14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vidéo'!$F$2:$F$14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vidéo'!$G$2:$G$14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vidéo'!$H$2:$H$14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vidéo'!$I$2:$I$14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vidéo'!$J$2:$J$14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vidéo'!$K$2:$K$14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vidéo'!$L$2:$L$14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vidéo'!$M$2:$M$14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vidéo'!$N$2:$N$14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vidéo'!$O$2:$O$14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vidéo'!$P$2:$P$14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vidéo'!$B$2:$B$14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vidéo'!$C$2:$C$14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vidéo'!$D$2:$D$14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vidéo'!$E$2:$E$14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vidéo'!$F$2:$F$14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vidéo'!$G$2:$G$14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vidéo'!$H$2:$H$14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vidéo'!$I$2:$I$14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vidéo'!$J$2:$J$14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vidéo'!$K$2:$K$14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vidéo'!$L$2:$L$14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vidéo'!$M$2:$M$14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vidéo'!$N$2:$N$14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vidéo'!$O$2:$O$14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vidéo'!$P$2:$P$14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heure'!$A$2:$A$95</f>
            </numRef>
          </cat>
          <val>
            <numRef>
              <f>'Heure par heure'!$C$2:$C$95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heure'!$A$2:$A$95</f>
            </numRef>
          </cat>
          <val>
            <numRef>
              <f>'Heure par heure'!$D$2:$D$95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heure'!$A$2:$A$95</f>
            </numRef>
          </cat>
          <val>
            <numRef>
              <f>'Heure par heure'!$E$2:$E$95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heure'!$A$2:$A$95</f>
            </numRef>
          </cat>
          <val>
            <numRef>
              <f>'Heure par heure'!$F$2:$F$95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heure'!$A$2:$A$95</f>
            </numRef>
          </cat>
          <val>
            <numRef>
              <f>'Heure par heure'!$G$2:$G$95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heure'!$A$2:$A$95</f>
            </numRef>
          </cat>
          <val>
            <numRef>
              <f>'Heure par heure'!$H$2:$H$95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heure'!$A$2:$A$95</f>
            </numRef>
          </cat>
          <val>
            <numRef>
              <f>'Heure par heure'!$I$2:$I$95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heure'!$A$2:$A$95</f>
            </numRef>
          </cat>
          <val>
            <numRef>
              <f>'Heure par heure'!$J$2:$J$95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heure'!$A$2:$A$95</f>
            </numRef>
          </cat>
          <val>
            <numRef>
              <f>'Heure par heure'!$K$2:$K$95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heure'!$A$2:$A$95</f>
            </numRef>
          </cat>
          <val>
            <numRef>
              <f>'Heure par heure'!$L$2:$L$95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heure'!$A$2:$A$95</f>
            </numRef>
          </cat>
          <val>
            <numRef>
              <f>'Heure par heure'!$B$2:$B$95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heure'!$A$2:$A$95</f>
            </numRef>
          </cat>
          <val>
            <numRef>
              <f>'Heure par heure'!$M$2:$M$95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heure'!$A$2:$A$95</f>
            </numRef>
          </cat>
          <val>
            <numRef>
              <f>'Vues gagnées par heure'!$B$2:$B$95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heure'!$A$2:$A$95</f>
            </numRef>
          </cat>
          <val>
            <numRef>
              <f>'Vues gagnées par heure'!$C$2:$C$95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heure'!$A$2:$A$95</f>
            </numRef>
          </cat>
          <val>
            <numRef>
              <f>'Vues gagnées par heure'!$D$2:$D$95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heure'!$A$2:$A$95</f>
            </numRef>
          </cat>
          <val>
            <numRef>
              <f>'Vues gagnées par heure'!$E$2:$E$95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heure'!$A$2:$A$95</f>
            </numRef>
          </cat>
          <val>
            <numRef>
              <f>'Vues gagnées par heure'!$F$2:$F$95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heure'!$A$2:$A$95</f>
            </numRef>
          </cat>
          <val>
            <numRef>
              <f>'Vues gagnées par heure'!$G$2:$G$95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heure'!$A$2:$A$95</f>
            </numRef>
          </cat>
          <val>
            <numRef>
              <f>'Vues gagnées par heure'!$H$2:$H$95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heure'!$A$2:$A$95</f>
            </numRef>
          </cat>
          <val>
            <numRef>
              <f>'Vues gagnées par heure'!$I$2:$I$95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heure'!$A$2:$A$95</f>
            </numRef>
          </cat>
          <val>
            <numRef>
              <f>'Vues gagnées par heure'!$J$2:$J$95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heure'!$A$2:$A$95</f>
            </numRef>
          </cat>
          <val>
            <numRef>
              <f>'Vues gagnées par heure'!$K$2:$K$95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2bYjllOT/" TargetMode="External" Id="rId1" /><Relationship Type="http://schemas.openxmlformats.org/officeDocument/2006/relationships/hyperlink" Target="https://www.instagram.com/reel/DetoG3RDRGR/" TargetMode="External" Id="rId2" /><Relationship Type="http://schemas.openxmlformats.org/officeDocument/2006/relationships/hyperlink" Target="https://www.instagram.com/reel/DeuORmrje2X/" TargetMode="External" Id="rId3" /><Relationship Type="http://schemas.openxmlformats.org/officeDocument/2006/relationships/hyperlink" Target="https://www.instagram.com/reel/Dev7vAwiHPF/" TargetMode="External" Id="rId4" /><Relationship Type="http://schemas.openxmlformats.org/officeDocument/2006/relationships/hyperlink" Target="https://www.instagram.com/reel/DewXqdggjen/" TargetMode="External" Id="rId5" /><Relationship Type="http://schemas.openxmlformats.org/officeDocument/2006/relationships/hyperlink" Target="https://www.instagram.com/reel/DewzPEDkwDC/" TargetMode="External" Id="rId6" /><Relationship Type="http://schemas.openxmlformats.org/officeDocument/2006/relationships/hyperlink" Target="https://www.instagram.com/reel/Dey8pqJjxZe/" TargetMode="External" Id="rId7" /><Relationship Type="http://schemas.openxmlformats.org/officeDocument/2006/relationships/hyperlink" Target="https://www.instagram.com/reel/De4IrjoAfMV/" TargetMode="External" Id="rId8" /><Relationship Type="http://schemas.openxmlformats.org/officeDocument/2006/relationships/hyperlink" Target="https://www.instagram.com/reel/De4SjlaiLAP/" TargetMode="External" Id="rId9" /><Relationship Type="http://schemas.openxmlformats.org/officeDocument/2006/relationships/hyperlink" Target="https://www.instagram.com/reel/De4wFkgEjfv/" TargetMode="External" Id="rId10" /><Relationship Type="http://schemas.openxmlformats.org/officeDocument/2006/relationships/hyperlink" Target="https://www.instagram.com/reel/De63hUGjyxb/" TargetMode="External" Id="rId11" /><Relationship Type="http://schemas.openxmlformats.org/officeDocument/2006/relationships/hyperlink" Target="https://www.instagram.com/reel/De63r8EkQ6Y/" TargetMode="External" Id="rId12" /><Relationship Type="http://schemas.openxmlformats.org/officeDocument/2006/relationships/hyperlink" Target="https://www.instagram.com/reel/De7PS5wCqiN/" TargetMode="External" Id="rId13" /><Relationship Type="http://schemas.openxmlformats.org/officeDocument/2006/relationships/hyperlink" Target="https://www.instagram.com/reel/De_SOGKACX-/" TargetMode="External" Id="rId14" /><Relationship Type="http://schemas.openxmlformats.org/officeDocument/2006/relationships/hyperlink" Target="https://www.instagram.com/reel/DfEhKWcjNRz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  <row r="14">
      <c r="A14" s="2" t="inlineStr">
        <is>
          <t>2026-10-30</t>
        </is>
      </c>
      <c r="B14" s="3" t="n">
        <v>7</v>
      </c>
      <c r="C14" s="3">
        <f>IF(ROW()=2,"",B14-B13)</f>
        <v/>
      </c>
      <c r="D14" s="3" t="n">
        <v>1860</v>
      </c>
      <c r="E14" s="3">
        <f>IF(ROW()=2,D14,D14-D13)</f>
        <v/>
      </c>
      <c r="F14" s="3" t="n">
        <v>107</v>
      </c>
      <c r="G14" s="3" t="n">
        <v>113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17:59</t>
        </is>
      </c>
      <c r="B2" s="2" t="inlineStr">
        <is>
          <t>📖 Il était une fois des agriculteurs en colèr</t>
        </is>
      </c>
      <c r="C2" s="4" t="inlineStr">
        <is>
          <t>ouvrir</t>
        </is>
      </c>
      <c r="D2" s="3" t="n">
        <v>79</v>
      </c>
      <c r="E2" s="3" t="n">
        <v>71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2026-10-20 10:33</t>
        </is>
      </c>
      <c r="B3" s="2" t="inlineStr">
        <is>
          <t>Couvre-feux, manifs « encadrées, voire interd</t>
        </is>
      </c>
      <c r="C3" s="4" t="inlineStr">
        <is>
          <t>ouvrir</t>
        </is>
      </c>
      <c r="D3" s="3" t="n">
        <v>158</v>
      </c>
      <c r="E3" s="3" t="n">
        <v>141</v>
      </c>
      <c r="F3" s="3" t="n">
        <v>2</v>
      </c>
      <c r="G3" s="3" t="n">
        <v>0</v>
      </c>
      <c r="H3" s="3" t="n">
        <v>0</v>
      </c>
      <c r="I3" s="3" t="n">
        <v>2</v>
      </c>
      <c r="J3" s="3" t="n">
        <v>5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16:07</t>
        </is>
      </c>
      <c r="B4" s="2" t="inlineStr">
        <is>
          <t>Couvre-feu pour les ados, 5,6 milliards envol</t>
        </is>
      </c>
      <c r="C4" s="4" t="inlineStr">
        <is>
          <t>ouvrir</t>
        </is>
      </c>
      <c r="D4" s="3" t="n">
        <v>108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2026-10-21 08:03</t>
        </is>
      </c>
      <c r="B5" s="2" t="inlineStr">
        <is>
          <t>Les syndicats de salariés auraient-ils dû êtr</t>
        </is>
      </c>
      <c r="C5" s="4" t="inlineStr">
        <is>
          <t>ouvrir</t>
        </is>
      </c>
      <c r="D5" s="3" t="n">
        <v>105</v>
      </c>
      <c r="E5" s="3" t="n">
        <v>87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12:07</t>
        </is>
      </c>
      <c r="B6" s="2" t="inlineStr">
        <is>
          <t>À toi de juger : taxer les profits du pétrole</t>
        </is>
      </c>
      <c r="C6" s="4" t="inlineStr">
        <is>
          <t>ouvrir</t>
        </is>
      </c>
      <c r="D6" s="3" t="n">
        <v>128</v>
      </c>
      <c r="E6" s="3" t="n">
        <v>106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16:08</t>
        </is>
      </c>
      <c r="B7" s="2" t="inlineStr">
        <is>
          <t>Gel des pensions : oui ou non ? Réponds en co</t>
        </is>
      </c>
      <c r="C7" s="4" t="inlineStr">
        <is>
          <t>ouvrir</t>
        </is>
      </c>
      <c r="D7" s="3" t="n">
        <v>114</v>
      </c>
      <c r="E7" s="3" t="n">
        <v>108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2026-10-22 12:09</t>
        </is>
      </c>
      <c r="B8" s="2" t="inlineStr">
        <is>
          <t>Couper les réseaux sociaux pendant les émeute</t>
        </is>
      </c>
      <c r="C8" s="4" t="inlineStr">
        <is>
          <t>ouvrir</t>
        </is>
      </c>
      <c r="D8" s="3" t="n">
        <v>76</v>
      </c>
      <c r="E8" s="3" t="n">
        <v>70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2026-10-24 12:30</t>
        </is>
      </c>
      <c r="B9" s="2" t="inlineStr">
        <is>
          <t>À toi de juger : il faut une enquête indépend</t>
        </is>
      </c>
      <c r="C9" s="4" t="inlineStr">
        <is>
          <t>ouvrir</t>
        </is>
      </c>
      <c r="D9" s="3" t="n">
        <v>133</v>
      </c>
      <c r="E9" s="3" t="n">
        <v>117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2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13:56</t>
        </is>
      </c>
      <c r="B10" s="2" t="inlineStr">
        <is>
          <t>« Oui, nous avons perdu le contrôle. » Le min</t>
        </is>
      </c>
      <c r="C10" s="4" t="inlineStr">
        <is>
          <t>ouvrir</t>
        </is>
      </c>
      <c r="D10" s="3" t="n">
        <v>244</v>
      </c>
      <c r="E10" s="3" t="n">
        <v>225</v>
      </c>
      <c r="F10" s="3" t="n">
        <v>4</v>
      </c>
      <c r="G10" s="3" t="n">
        <v>0</v>
      </c>
      <c r="H10" s="3" t="n">
        <v>0</v>
      </c>
      <c r="I10" s="3" t="n">
        <v>1</v>
      </c>
      <c r="J10" s="3" t="n">
        <v>5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18:14</t>
        </is>
      </c>
      <c r="B11" s="2" t="inlineStr">
        <is>
          <t xml:space="preserve">Cinq infos de la semaine, une même logique : </t>
        </is>
      </c>
      <c r="C11" s="4" t="inlineStr">
        <is>
          <t>ouvrir</t>
        </is>
      </c>
      <c r="D11" s="3" t="n">
        <v>134</v>
      </c>
      <c r="E11" s="3" t="n">
        <v>115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2026-10-25 13:58</t>
        </is>
      </c>
      <c r="B12" s="2" t="inlineStr">
        <is>
          <t xml:space="preserve">Des millions publics promis. 244 salariés de </t>
        </is>
      </c>
      <c r="C12" s="4" t="inlineStr">
        <is>
          <t>ouvrir</t>
        </is>
      </c>
      <c r="D12" s="3" t="n">
        <v>114</v>
      </c>
      <c r="E12" s="3" t="n">
        <v>102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13:59</t>
        </is>
      </c>
      <c r="B13" s="2" t="inlineStr">
        <is>
          <t>Vendredi, Macron au concert de Céline Dion. S</t>
        </is>
      </c>
      <c r="C13" s="4" t="inlineStr">
        <is>
          <t>ouvrir</t>
        </is>
      </c>
      <c r="D13" s="3" t="n">
        <v>130</v>
      </c>
      <c r="E13" s="3" t="n">
        <v>110</v>
      </c>
      <c r="F13" s="3" t="n">
        <v>1</v>
      </c>
      <c r="G13" s="3" t="n">
        <v>0</v>
      </c>
      <c r="H13" s="3" t="n">
        <v>0</v>
      </c>
      <c r="I13" s="3" t="n">
        <v>0</v>
      </c>
      <c r="J13" s="3" t="n">
        <v>1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17:26</t>
        </is>
      </c>
      <c r="B14" s="2" t="inlineStr">
        <is>
          <t>2 513 gardes à vue et 67 incarcérations après</t>
        </is>
      </c>
      <c r="C14" s="4" t="inlineStr">
        <is>
          <t>ouvrir</t>
        </is>
      </c>
      <c r="D14" s="3" t="n">
        <v>118</v>
      </c>
      <c r="E14" s="3" t="n">
        <v>106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2026-10-27 07:08</t>
        </is>
      </c>
      <c r="B15" s="2" t="inlineStr">
        <is>
          <t xml:space="preserve">54 milliards d'efforts demandés aux Français </t>
        </is>
      </c>
      <c r="C15" s="4" t="inlineStr">
        <is>
          <t>ouvrir</t>
        </is>
      </c>
      <c r="D15" s="3" t="n">
        <v>107</v>
      </c>
      <c r="E15" s="3" t="n">
        <v>99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2026-10-29 07:55</t>
        </is>
      </c>
      <c r="B16" s="2" t="inlineStr">
        <is>
          <t xml:space="preserve">Macron demande aux branches de négocier : 52 </t>
        </is>
      </c>
      <c r="C16" s="4" t="inlineStr">
        <is>
          <t>ouvrir</t>
        </is>
      </c>
      <c r="D16" s="3" t="n">
        <v>112</v>
      </c>
      <c r="E16" s="3" t="n">
        <v>106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73</v>
      </c>
      <c r="C4" s="3" t="n">
        <v>63</v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79</v>
      </c>
      <c r="C5" s="3" t="n">
        <v>157</v>
      </c>
      <c r="D5" s="3" t="n">
        <v>105</v>
      </c>
      <c r="E5" s="3" t="n">
        <v>80</v>
      </c>
      <c r="F5" s="3" t="n">
        <v>69</v>
      </c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79</v>
      </c>
      <c r="C6" s="3" t="n">
        <v>158</v>
      </c>
      <c r="D6" s="3" t="n">
        <v>106</v>
      </c>
      <c r="E6" s="3" t="n">
        <v>105</v>
      </c>
      <c r="F6" s="3" t="n">
        <v>128</v>
      </c>
      <c r="G6" s="3" t="n">
        <v>113</v>
      </c>
      <c r="H6" s="3" t="n">
        <v>32</v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79</v>
      </c>
      <c r="C7" s="3" t="n">
        <v>158</v>
      </c>
      <c r="D7" s="3" t="n">
        <v>106</v>
      </c>
      <c r="E7" s="3" t="n">
        <v>105</v>
      </c>
      <c r="F7" s="3" t="n">
        <v>128</v>
      </c>
      <c r="G7" s="3" t="n">
        <v>113</v>
      </c>
      <c r="H7" s="3" t="n">
        <v>74</v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79</v>
      </c>
      <c r="C8" s="3" t="n">
        <v>158</v>
      </c>
      <c r="D8" s="3" t="n">
        <v>108</v>
      </c>
      <c r="E8" s="3" t="n">
        <v>105</v>
      </c>
      <c r="F8" s="3" t="n">
        <v>128</v>
      </c>
      <c r="G8" s="3" t="n">
        <v>114</v>
      </c>
      <c r="H8" s="3" t="n">
        <v>76</v>
      </c>
      <c r="I8" s="3" t="n">
        <v>119</v>
      </c>
      <c r="J8" s="3" t="n">
        <v>6</v>
      </c>
      <c r="K8" s="3" t="n"/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79</v>
      </c>
      <c r="C9" s="3" t="n">
        <v>158</v>
      </c>
      <c r="D9" s="3" t="n">
        <v>108</v>
      </c>
      <c r="E9" s="3" t="n">
        <v>105</v>
      </c>
      <c r="F9" s="3" t="n">
        <v>128</v>
      </c>
      <c r="G9" s="3" t="n">
        <v>114</v>
      </c>
      <c r="H9" s="3" t="n">
        <v>76</v>
      </c>
      <c r="I9" s="3" t="n">
        <v>133</v>
      </c>
      <c r="J9" s="3" t="n">
        <v>241</v>
      </c>
      <c r="K9" s="3" t="n">
        <v>134</v>
      </c>
      <c r="L9" s="3" t="n">
        <v>10</v>
      </c>
      <c r="M9" s="3" t="n">
        <v>13</v>
      </c>
      <c r="N9" s="3" t="n"/>
      <c r="O9" s="3" t="n"/>
      <c r="P9" s="3" t="n"/>
    </row>
    <row r="10">
      <c r="A10" s="2" t="inlineStr">
        <is>
          <t>2026-10-26</t>
        </is>
      </c>
      <c r="B10" s="3" t="n">
        <v>79</v>
      </c>
      <c r="C10" s="3" t="n">
        <v>158</v>
      </c>
      <c r="D10" s="3" t="n">
        <v>108</v>
      </c>
      <c r="E10" s="3" t="n">
        <v>105</v>
      </c>
      <c r="F10" s="3" t="n">
        <v>128</v>
      </c>
      <c r="G10" s="3" t="n">
        <v>114</v>
      </c>
      <c r="H10" s="3" t="n">
        <v>76</v>
      </c>
      <c r="I10" s="3" t="n">
        <v>133</v>
      </c>
      <c r="J10" s="3" t="n">
        <v>244</v>
      </c>
      <c r="K10" s="3" t="n">
        <v>134</v>
      </c>
      <c r="L10" s="3" t="n">
        <v>114</v>
      </c>
      <c r="M10" s="3" t="n">
        <v>130</v>
      </c>
      <c r="N10" s="3" t="n">
        <v>117</v>
      </c>
      <c r="O10" s="3" t="n"/>
      <c r="P10" s="3" t="n"/>
    </row>
    <row r="11">
      <c r="A11" s="2" t="inlineStr">
        <is>
          <t>2026-10-27</t>
        </is>
      </c>
      <c r="B11" s="3" t="n">
        <v>79</v>
      </c>
      <c r="C11" s="3" t="n">
        <v>158</v>
      </c>
      <c r="D11" s="3" t="n">
        <v>108</v>
      </c>
      <c r="E11" s="3" t="n">
        <v>105</v>
      </c>
      <c r="F11" s="3" t="n">
        <v>128</v>
      </c>
      <c r="G11" s="3" t="n">
        <v>114</v>
      </c>
      <c r="H11" s="3" t="n">
        <v>76</v>
      </c>
      <c r="I11" s="3" t="n">
        <v>133</v>
      </c>
      <c r="J11" s="3" t="n">
        <v>244</v>
      </c>
      <c r="K11" s="3" t="n">
        <v>134</v>
      </c>
      <c r="L11" s="3" t="n">
        <v>114</v>
      </c>
      <c r="M11" s="3" t="n">
        <v>130</v>
      </c>
      <c r="N11" s="3" t="n">
        <v>118</v>
      </c>
      <c r="O11" s="3" t="n">
        <v>92</v>
      </c>
      <c r="P11" s="3" t="n"/>
    </row>
    <row r="12">
      <c r="A12" s="2" t="inlineStr">
        <is>
          <t>2026-10-28</t>
        </is>
      </c>
      <c r="B12" s="3" t="n">
        <v>79</v>
      </c>
      <c r="C12" s="3" t="n">
        <v>158</v>
      </c>
      <c r="D12" s="3" t="n">
        <v>108</v>
      </c>
      <c r="E12" s="3" t="n">
        <v>105</v>
      </c>
      <c r="F12" s="3" t="n">
        <v>128</v>
      </c>
      <c r="G12" s="3" t="n">
        <v>114</v>
      </c>
      <c r="H12" s="3" t="n">
        <v>76</v>
      </c>
      <c r="I12" s="3" t="n">
        <v>133</v>
      </c>
      <c r="J12" s="3" t="n">
        <v>244</v>
      </c>
      <c r="K12" s="3" t="n">
        <v>134</v>
      </c>
      <c r="L12" s="3" t="n">
        <v>114</v>
      </c>
      <c r="M12" s="3" t="n">
        <v>130</v>
      </c>
      <c r="N12" s="3" t="n">
        <v>118</v>
      </c>
      <c r="O12" s="3" t="n">
        <v>107</v>
      </c>
      <c r="P12" s="3" t="n"/>
    </row>
    <row r="13">
      <c r="A13" s="2" t="inlineStr">
        <is>
          <t>2026-10-29</t>
        </is>
      </c>
      <c r="B13" s="3" t="n">
        <v>79</v>
      </c>
      <c r="C13" s="3" t="n">
        <v>158</v>
      </c>
      <c r="D13" s="3" t="n">
        <v>108</v>
      </c>
      <c r="E13" s="3" t="n">
        <v>105</v>
      </c>
      <c r="F13" s="3" t="n">
        <v>128</v>
      </c>
      <c r="G13" s="3" t="n">
        <v>114</v>
      </c>
      <c r="H13" s="3" t="n">
        <v>76</v>
      </c>
      <c r="I13" s="3" t="n">
        <v>133</v>
      </c>
      <c r="J13" s="3" t="n">
        <v>244</v>
      </c>
      <c r="K13" s="3" t="n">
        <v>134</v>
      </c>
      <c r="L13" s="3" t="n">
        <v>114</v>
      </c>
      <c r="M13" s="3" t="n">
        <v>130</v>
      </c>
      <c r="N13" s="3" t="n">
        <v>118</v>
      </c>
      <c r="O13" s="3" t="n">
        <v>107</v>
      </c>
      <c r="P13" s="3" t="n">
        <v>112</v>
      </c>
    </row>
    <row r="14">
      <c r="A14" s="2" t="inlineStr">
        <is>
          <t>2026-10-30</t>
        </is>
      </c>
      <c r="B14" s="3" t="n">
        <v>79</v>
      </c>
      <c r="C14" s="3" t="n">
        <v>158</v>
      </c>
      <c r="D14" s="3" t="n">
        <v>108</v>
      </c>
      <c r="E14" s="3" t="n">
        <v>105</v>
      </c>
      <c r="F14" s="3" t="n">
        <v>128</v>
      </c>
      <c r="G14" s="3" t="n">
        <v>114</v>
      </c>
      <c r="H14" s="3" t="n">
        <v>76</v>
      </c>
      <c r="I14" s="3" t="n">
        <v>133</v>
      </c>
      <c r="J14" s="3" t="n">
        <v>244</v>
      </c>
      <c r="K14" s="3" t="n">
        <v>134</v>
      </c>
      <c r="L14" s="3" t="n">
        <v>114</v>
      </c>
      <c r="M14" s="3" t="n">
        <v>130</v>
      </c>
      <c r="N14" s="3" t="n">
        <v>118</v>
      </c>
      <c r="O14" s="3" t="n">
        <v>107</v>
      </c>
      <c r="P14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SUM(B13:P13)</f>
        <v/>
      </c>
    </row>
    <row r="14">
      <c r="A14" s="2" t="inlineStr">
        <is>
          <t>2026-10-30</t>
        </is>
      </c>
      <c r="B14" s="3">
        <f>IF('Évolution par vidéo'!B14="","",'Évolution par vidéo'!B14-N('Évolution par vidéo'!B13))</f>
        <v/>
      </c>
      <c r="C14" s="3">
        <f>IF('Évolution par vidéo'!C14="","",'Évolution par vidéo'!C14-N('Évolution par vidéo'!C13))</f>
        <v/>
      </c>
      <c r="D14" s="3">
        <f>IF('Évolution par vidéo'!D14="","",'Évolution par vidéo'!D14-N('Évolution par vidéo'!D13))</f>
        <v/>
      </c>
      <c r="E14" s="3">
        <f>IF('Évolution par vidéo'!E14="","",'Évolution par vidéo'!E14-N('Évolution par vidéo'!E13))</f>
        <v/>
      </c>
      <c r="F14" s="3">
        <f>IF('Évolution par vidéo'!F14="","",'Évolution par vidéo'!F14-N('Évolution par vidéo'!F13))</f>
        <v/>
      </c>
      <c r="G14" s="3">
        <f>IF('Évolution par vidéo'!G14="","",'Évolution par vidéo'!G14-N('Évolution par vidéo'!G13))</f>
        <v/>
      </c>
      <c r="H14" s="3">
        <f>IF('Évolution par vidéo'!H14="","",'Évolution par vidéo'!H14-N('Évolution par vidéo'!H13))</f>
        <v/>
      </c>
      <c r="I14" s="3">
        <f>IF('Évolution par vidéo'!I14="","",'Évolution par vidéo'!I14-N('Évolution par vidéo'!I13))</f>
        <v/>
      </c>
      <c r="J14" s="3">
        <f>IF('Évolution par vidéo'!J14="","",'Évolution par vidéo'!J14-N('Évolution par vidéo'!J13))</f>
        <v/>
      </c>
      <c r="K14" s="3">
        <f>IF('Évolution par vidéo'!K14="","",'Évolution par vidéo'!K14-N('Évolution par vidéo'!K13))</f>
        <v/>
      </c>
      <c r="L14" s="3">
        <f>IF('Évolution par vidéo'!L14="","",'Évolution par vidéo'!L14-N('Évolution par vidéo'!L13))</f>
        <v/>
      </c>
      <c r="M14" s="3">
        <f>IF('Évolution par vidéo'!M14="","",'Évolution par vidéo'!M14-N('Évolution par vidéo'!M13))</f>
        <v/>
      </c>
      <c r="N14" s="3">
        <f>IF('Évolution par vidéo'!N14="","",'Évolution par vidéo'!N14-N('Évolution par vidéo'!N13))</f>
        <v/>
      </c>
      <c r="O14" s="3">
        <f>IF('Évolution par vidéo'!O14="","",'Évolution par vidéo'!O14-N('Évolution par vidéo'!O13))</f>
        <v/>
      </c>
      <c r="P14" s="3">
        <f>IF('Évolution par vidéo'!P14="","",'Évolution par vidéo'!P14-N('Évolution par vidéo'!P13))</f>
        <v/>
      </c>
      <c r="Q14" s="3">
        <f>SUM(B14:P14)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  <row r="86">
      <c r="A86" s="2" t="inlineStr">
        <is>
          <t>2026-10-29 19:00</t>
        </is>
      </c>
      <c r="B86" s="3" t="n">
        <v>7</v>
      </c>
      <c r="C86" s="3" t="n">
        <v>114</v>
      </c>
      <c r="D86" s="3" t="n">
        <v>76</v>
      </c>
      <c r="E86" s="3" t="n">
        <v>133</v>
      </c>
      <c r="F86" s="3" t="n">
        <v>244</v>
      </c>
      <c r="G86" s="3" t="n">
        <v>134</v>
      </c>
      <c r="H86" s="3" t="n">
        <v>114</v>
      </c>
      <c r="I86" s="3" t="n">
        <v>130</v>
      </c>
      <c r="J86" s="3" t="n">
        <v>118</v>
      </c>
      <c r="K86" s="3" t="n">
        <v>107</v>
      </c>
      <c r="L86" s="3" t="n">
        <v>112</v>
      </c>
      <c r="M86" s="3">
        <f>SUM(C86:L86)</f>
        <v/>
      </c>
    </row>
    <row r="87">
      <c r="A87" s="2" t="inlineStr">
        <is>
          <t>2026-10-29 20:00</t>
        </is>
      </c>
      <c r="B87" s="3" t="n">
        <v>7</v>
      </c>
      <c r="C87" s="3" t="n">
        <v>114</v>
      </c>
      <c r="D87" s="3" t="n">
        <v>76</v>
      </c>
      <c r="E87" s="3" t="n">
        <v>133</v>
      </c>
      <c r="F87" s="3" t="n">
        <v>244</v>
      </c>
      <c r="G87" s="3" t="n">
        <v>134</v>
      </c>
      <c r="H87" s="3" t="n">
        <v>114</v>
      </c>
      <c r="I87" s="3" t="n">
        <v>130</v>
      </c>
      <c r="J87" s="3" t="n">
        <v>118</v>
      </c>
      <c r="K87" s="3" t="n">
        <v>107</v>
      </c>
      <c r="L87" s="3" t="n">
        <v>112</v>
      </c>
      <c r="M87" s="3">
        <f>SUM(C87:L87)</f>
        <v/>
      </c>
    </row>
    <row r="88">
      <c r="A88" s="2" t="inlineStr">
        <is>
          <t>2026-10-29 21:00</t>
        </is>
      </c>
      <c r="B88" s="3" t="n">
        <v>7</v>
      </c>
      <c r="C88" s="3" t="n">
        <v>114</v>
      </c>
      <c r="D88" s="3" t="n">
        <v>76</v>
      </c>
      <c r="E88" s="3" t="n">
        <v>133</v>
      </c>
      <c r="F88" s="3" t="n">
        <v>244</v>
      </c>
      <c r="G88" s="3" t="n">
        <v>134</v>
      </c>
      <c r="H88" s="3" t="n">
        <v>114</v>
      </c>
      <c r="I88" s="3" t="n">
        <v>130</v>
      </c>
      <c r="J88" s="3" t="n">
        <v>118</v>
      </c>
      <c r="K88" s="3" t="n">
        <v>107</v>
      </c>
      <c r="L88" s="3" t="n">
        <v>112</v>
      </c>
      <c r="M88" s="3">
        <f>SUM(C88:L88)</f>
        <v/>
      </c>
    </row>
    <row r="89">
      <c r="A89" s="2" t="inlineStr">
        <is>
          <t>2026-10-29 22:00</t>
        </is>
      </c>
      <c r="B89" s="3" t="n">
        <v>7</v>
      </c>
      <c r="C89" s="3" t="n">
        <v>114</v>
      </c>
      <c r="D89" s="3" t="n">
        <v>76</v>
      </c>
      <c r="E89" s="3" t="n">
        <v>133</v>
      </c>
      <c r="F89" s="3" t="n">
        <v>244</v>
      </c>
      <c r="G89" s="3" t="n">
        <v>134</v>
      </c>
      <c r="H89" s="3" t="n">
        <v>114</v>
      </c>
      <c r="I89" s="3" t="n">
        <v>130</v>
      </c>
      <c r="J89" s="3" t="n">
        <v>118</v>
      </c>
      <c r="K89" s="3" t="n">
        <v>107</v>
      </c>
      <c r="L89" s="3" t="n">
        <v>112</v>
      </c>
      <c r="M89" s="3">
        <f>SUM(C89:L89)</f>
        <v/>
      </c>
    </row>
    <row r="90">
      <c r="A90" s="2" t="inlineStr">
        <is>
          <t>2026-10-30 06:00</t>
        </is>
      </c>
      <c r="B90" s="3" t="n">
        <v>7</v>
      </c>
      <c r="C90" s="3" t="n">
        <v>114</v>
      </c>
      <c r="D90" s="3" t="n">
        <v>76</v>
      </c>
      <c r="E90" s="3" t="n">
        <v>133</v>
      </c>
      <c r="F90" s="3" t="n">
        <v>244</v>
      </c>
      <c r="G90" s="3" t="n">
        <v>134</v>
      </c>
      <c r="H90" s="3" t="n">
        <v>114</v>
      </c>
      <c r="I90" s="3" t="n">
        <v>130</v>
      </c>
      <c r="J90" s="3" t="n">
        <v>118</v>
      </c>
      <c r="K90" s="3" t="n">
        <v>107</v>
      </c>
      <c r="L90" s="3" t="n">
        <v>112</v>
      </c>
      <c r="M90" s="3">
        <f>SUM(C90:L90)</f>
        <v/>
      </c>
    </row>
    <row r="91">
      <c r="A91" s="2" t="inlineStr">
        <is>
          <t>2026-10-30 07:00</t>
        </is>
      </c>
      <c r="B91" s="3" t="n">
        <v>7</v>
      </c>
      <c r="C91" s="3" t="n">
        <v>114</v>
      </c>
      <c r="D91" s="3" t="n">
        <v>76</v>
      </c>
      <c r="E91" s="3" t="n">
        <v>133</v>
      </c>
      <c r="F91" s="3" t="n">
        <v>244</v>
      </c>
      <c r="G91" s="3" t="n">
        <v>134</v>
      </c>
      <c r="H91" s="3" t="n">
        <v>114</v>
      </c>
      <c r="I91" s="3" t="n">
        <v>130</v>
      </c>
      <c r="J91" s="3" t="n">
        <v>118</v>
      </c>
      <c r="K91" s="3" t="n">
        <v>107</v>
      </c>
      <c r="L91" s="3" t="n">
        <v>112</v>
      </c>
      <c r="M91" s="3">
        <f>SUM(C91:L91)</f>
        <v/>
      </c>
    </row>
    <row r="92">
      <c r="A92" s="2" t="inlineStr">
        <is>
          <t>2026-10-30 08:00</t>
        </is>
      </c>
      <c r="B92" s="3" t="n">
        <v>7</v>
      </c>
      <c r="C92" s="3" t="n">
        <v>114</v>
      </c>
      <c r="D92" s="3" t="n">
        <v>76</v>
      </c>
      <c r="E92" s="3" t="n">
        <v>133</v>
      </c>
      <c r="F92" s="3" t="n">
        <v>244</v>
      </c>
      <c r="G92" s="3" t="n">
        <v>134</v>
      </c>
      <c r="H92" s="3" t="n">
        <v>114</v>
      </c>
      <c r="I92" s="3" t="n">
        <v>130</v>
      </c>
      <c r="J92" s="3" t="n">
        <v>118</v>
      </c>
      <c r="K92" s="3" t="n">
        <v>107</v>
      </c>
      <c r="L92" s="3" t="n">
        <v>112</v>
      </c>
      <c r="M92" s="3">
        <f>SUM(C92:L92)</f>
        <v/>
      </c>
    </row>
    <row r="93">
      <c r="A93" s="2" t="inlineStr">
        <is>
          <t>2026-10-30 09:00</t>
        </is>
      </c>
      <c r="B93" s="3" t="n">
        <v>7</v>
      </c>
      <c r="C93" s="3" t="n">
        <v>114</v>
      </c>
      <c r="D93" s="3" t="n">
        <v>76</v>
      </c>
      <c r="E93" s="3" t="n">
        <v>133</v>
      </c>
      <c r="F93" s="3" t="n">
        <v>244</v>
      </c>
      <c r="G93" s="3" t="n">
        <v>134</v>
      </c>
      <c r="H93" s="3" t="n">
        <v>114</v>
      </c>
      <c r="I93" s="3" t="n">
        <v>130</v>
      </c>
      <c r="J93" s="3" t="n">
        <v>118</v>
      </c>
      <c r="K93" s="3" t="n">
        <v>107</v>
      </c>
      <c r="L93" s="3" t="n">
        <v>112</v>
      </c>
      <c r="M93" s="3">
        <f>SUM(C93:L93)</f>
        <v/>
      </c>
    </row>
    <row r="94">
      <c r="A94" s="2" t="inlineStr">
        <is>
          <t>2026-10-30 10:00</t>
        </is>
      </c>
      <c r="B94" s="3" t="n">
        <v>7</v>
      </c>
      <c r="C94" s="3" t="n">
        <v>114</v>
      </c>
      <c r="D94" s="3" t="n">
        <v>76</v>
      </c>
      <c r="E94" s="3" t="n">
        <v>133</v>
      </c>
      <c r="F94" s="3" t="n">
        <v>244</v>
      </c>
      <c r="G94" s="3" t="n">
        <v>134</v>
      </c>
      <c r="H94" s="3" t="n">
        <v>114</v>
      </c>
      <c r="I94" s="3" t="n">
        <v>130</v>
      </c>
      <c r="J94" s="3" t="n">
        <v>118</v>
      </c>
      <c r="K94" s="3" t="n">
        <v>107</v>
      </c>
      <c r="L94" s="3" t="n">
        <v>112</v>
      </c>
      <c r="M94" s="3">
        <f>SUM(C94:L94)</f>
        <v/>
      </c>
    </row>
    <row r="95">
      <c r="A95" s="2" t="inlineStr">
        <is>
          <t>2026-10-30 11:00</t>
        </is>
      </c>
      <c r="B95" s="3" t="n">
        <v>7</v>
      </c>
      <c r="C95" s="3" t="n">
        <v>114</v>
      </c>
      <c r="D95" s="3" t="n">
        <v>76</v>
      </c>
      <c r="E95" s="3" t="n">
        <v>133</v>
      </c>
      <c r="F95" s="3" t="n">
        <v>244</v>
      </c>
      <c r="G95" s="3" t="n">
        <v>134</v>
      </c>
      <c r="H95" s="3" t="n">
        <v>114</v>
      </c>
      <c r="I95" s="3" t="n">
        <v>130</v>
      </c>
      <c r="J95" s="3" t="n">
        <v>118</v>
      </c>
      <c r="K95" s="3" t="n">
        <v>107</v>
      </c>
      <c r="L95" s="3" t="n">
        <v>112</v>
      </c>
      <c r="M95" s="3">
        <f>SUM(C95:L95)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IF('Heure par heure'!G86="","",'Heure par heure'!G86-N('Heure par heure'!G85))</f>
        <v/>
      </c>
      <c r="G86" s="3">
        <f>IF('Heure par heure'!H86="","",'Heure par heure'!H86-N('Heure par heure'!H85))</f>
        <v/>
      </c>
      <c r="H86" s="3">
        <f>IF('Heure par heure'!I86="","",'Heure par heure'!I86-N('Heure par heure'!I85))</f>
        <v/>
      </c>
      <c r="I86" s="3">
        <f>IF('Heure par heure'!J86="","",'Heure par heure'!J86-N('Heure par heure'!J85))</f>
        <v/>
      </c>
      <c r="J86" s="3">
        <f>IF('Heure par heure'!K86="","",'Heure par heure'!K86-N('Heure par heure'!K85))</f>
        <v/>
      </c>
      <c r="K86" s="3">
        <f>IF('Heure par heure'!L86="","",'Heure par heure'!L86-N('Heure par heure'!L85))</f>
        <v/>
      </c>
      <c r="L86" s="3">
        <f>SUM(B86:K86)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IF('Heure par heure'!G87="","",'Heure par heure'!G87-N('Heure par heure'!G86))</f>
        <v/>
      </c>
      <c r="G87" s="3">
        <f>IF('Heure par heure'!H87="","",'Heure par heure'!H87-N('Heure par heure'!H86))</f>
        <v/>
      </c>
      <c r="H87" s="3">
        <f>IF('Heure par heure'!I87="","",'Heure par heure'!I87-N('Heure par heure'!I86))</f>
        <v/>
      </c>
      <c r="I87" s="3">
        <f>IF('Heure par heure'!J87="","",'Heure par heure'!J87-N('Heure par heure'!J86))</f>
        <v/>
      </c>
      <c r="J87" s="3">
        <f>IF('Heure par heure'!K87="","",'Heure par heure'!K87-N('Heure par heure'!K86))</f>
        <v/>
      </c>
      <c r="K87" s="3">
        <f>IF('Heure par heure'!L87="","",'Heure par heure'!L87-N('Heure par heure'!L86))</f>
        <v/>
      </c>
      <c r="L87" s="3">
        <f>SUM(B87:K87)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IF('Heure par heure'!G88="","",'Heure par heure'!G88-N('Heure par heure'!G87))</f>
        <v/>
      </c>
      <c r="G88" s="3">
        <f>IF('Heure par heure'!H88="","",'Heure par heure'!H88-N('Heure par heure'!H87))</f>
        <v/>
      </c>
      <c r="H88" s="3">
        <f>IF('Heure par heure'!I88="","",'Heure par heure'!I88-N('Heure par heure'!I87))</f>
        <v/>
      </c>
      <c r="I88" s="3">
        <f>IF('Heure par heure'!J88="","",'Heure par heure'!J88-N('Heure par heure'!J87))</f>
        <v/>
      </c>
      <c r="J88" s="3">
        <f>IF('Heure par heure'!K88="","",'Heure par heure'!K88-N('Heure par heure'!K87))</f>
        <v/>
      </c>
      <c r="K88" s="3">
        <f>IF('Heure par heure'!L88="","",'Heure par heure'!L88-N('Heure par heure'!L87))</f>
        <v/>
      </c>
      <c r="L88" s="3">
        <f>SUM(B88:K88)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IF('Heure par heure'!G89="","",'Heure par heure'!G89-N('Heure par heure'!G88))</f>
        <v/>
      </c>
      <c r="G89" s="3">
        <f>IF('Heure par heure'!H89="","",'Heure par heure'!H89-N('Heure par heure'!H88))</f>
        <v/>
      </c>
      <c r="H89" s="3">
        <f>IF('Heure par heure'!I89="","",'Heure par heure'!I89-N('Heure par heure'!I88))</f>
        <v/>
      </c>
      <c r="I89" s="3">
        <f>IF('Heure par heure'!J89="","",'Heure par heure'!J89-N('Heure par heure'!J88))</f>
        <v/>
      </c>
      <c r="J89" s="3">
        <f>IF('Heure par heure'!K89="","",'Heure par heure'!K89-N('Heure par heure'!K88))</f>
        <v/>
      </c>
      <c r="K89" s="3">
        <f>IF('Heure par heure'!L89="","",'Heure par heure'!L89-N('Heure par heure'!L88))</f>
        <v/>
      </c>
      <c r="L89" s="3">
        <f>SUM(B89:K89)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IF('Heure par heure'!G90="","",'Heure par heure'!G90-N('Heure par heure'!G89))</f>
        <v/>
      </c>
      <c r="G90" s="3">
        <f>IF('Heure par heure'!H90="","",'Heure par heure'!H90-N('Heure par heure'!H89))</f>
        <v/>
      </c>
      <c r="H90" s="3">
        <f>IF('Heure par heure'!I90="","",'Heure par heure'!I90-N('Heure par heure'!I89))</f>
        <v/>
      </c>
      <c r="I90" s="3">
        <f>IF('Heure par heure'!J90="","",'Heure par heure'!J90-N('Heure par heure'!J89))</f>
        <v/>
      </c>
      <c r="J90" s="3">
        <f>IF('Heure par heure'!K90="","",'Heure par heure'!K90-N('Heure par heure'!K89))</f>
        <v/>
      </c>
      <c r="K90" s="3">
        <f>IF('Heure par heure'!L90="","",'Heure par heure'!L90-N('Heure par heure'!L89))</f>
        <v/>
      </c>
      <c r="L90" s="3">
        <f>SUM(B90:K90)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IF('Heure par heure'!G91="","",'Heure par heure'!G91-N('Heure par heure'!G90))</f>
        <v/>
      </c>
      <c r="G91" s="3">
        <f>IF('Heure par heure'!H91="","",'Heure par heure'!H91-N('Heure par heure'!H90))</f>
        <v/>
      </c>
      <c r="H91" s="3">
        <f>IF('Heure par heure'!I91="","",'Heure par heure'!I91-N('Heure par heure'!I90))</f>
        <v/>
      </c>
      <c r="I91" s="3">
        <f>IF('Heure par heure'!J91="","",'Heure par heure'!J91-N('Heure par heure'!J90))</f>
        <v/>
      </c>
      <c r="J91" s="3">
        <f>IF('Heure par heure'!K91="","",'Heure par heure'!K91-N('Heure par heure'!K90))</f>
        <v/>
      </c>
      <c r="K91" s="3">
        <f>IF('Heure par heure'!L91="","",'Heure par heure'!L91-N('Heure par heure'!L90))</f>
        <v/>
      </c>
      <c r="L91" s="3">
        <f>SUM(B91:K91)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IF('Heure par heure'!G92="","",'Heure par heure'!G92-N('Heure par heure'!G91))</f>
        <v/>
      </c>
      <c r="G92" s="3">
        <f>IF('Heure par heure'!H92="","",'Heure par heure'!H92-N('Heure par heure'!H91))</f>
        <v/>
      </c>
      <c r="H92" s="3">
        <f>IF('Heure par heure'!I92="","",'Heure par heure'!I92-N('Heure par heure'!I91))</f>
        <v/>
      </c>
      <c r="I92" s="3">
        <f>IF('Heure par heure'!J92="","",'Heure par heure'!J92-N('Heure par heure'!J91))</f>
        <v/>
      </c>
      <c r="J92" s="3">
        <f>IF('Heure par heure'!K92="","",'Heure par heure'!K92-N('Heure par heure'!K91))</f>
        <v/>
      </c>
      <c r="K92" s="3">
        <f>IF('Heure par heure'!L92="","",'Heure par heure'!L92-N('Heure par heure'!L91))</f>
        <v/>
      </c>
      <c r="L92" s="3">
        <f>SUM(B92:K92)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IF('Heure par heure'!G93="","",'Heure par heure'!G93-N('Heure par heure'!G92))</f>
        <v/>
      </c>
      <c r="G93" s="3">
        <f>IF('Heure par heure'!H93="","",'Heure par heure'!H93-N('Heure par heure'!H92))</f>
        <v/>
      </c>
      <c r="H93" s="3">
        <f>IF('Heure par heure'!I93="","",'Heure par heure'!I93-N('Heure par heure'!I92))</f>
        <v/>
      </c>
      <c r="I93" s="3">
        <f>IF('Heure par heure'!J93="","",'Heure par heure'!J93-N('Heure par heure'!J92))</f>
        <v/>
      </c>
      <c r="J93" s="3">
        <f>IF('Heure par heure'!K93="","",'Heure par heure'!K93-N('Heure par heure'!K92))</f>
        <v/>
      </c>
      <c r="K93" s="3">
        <f>IF('Heure par heure'!L93="","",'Heure par heure'!L93-N('Heure par heure'!L92))</f>
        <v/>
      </c>
      <c r="L93" s="3">
        <f>SUM(B93:K93)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IF('Heure par heure'!G94="","",'Heure par heure'!G94-N('Heure par heure'!G93))</f>
        <v/>
      </c>
      <c r="G94" s="3">
        <f>IF('Heure par heure'!H94="","",'Heure par heure'!H94-N('Heure par heure'!H93))</f>
        <v/>
      </c>
      <c r="H94" s="3">
        <f>IF('Heure par heure'!I94="","",'Heure par heure'!I94-N('Heure par heure'!I93))</f>
        <v/>
      </c>
      <c r="I94" s="3">
        <f>IF('Heure par heure'!J94="","",'Heure par heure'!J94-N('Heure par heure'!J93))</f>
        <v/>
      </c>
      <c r="J94" s="3">
        <f>IF('Heure par heure'!K94="","",'Heure par heure'!K94-N('Heure par heure'!K93))</f>
        <v/>
      </c>
      <c r="K94" s="3">
        <f>IF('Heure par heure'!L94="","",'Heure par heure'!L94-N('Heure par heure'!L93))</f>
        <v/>
      </c>
      <c r="L94" s="3">
        <f>SUM(B94:K94)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IF('Heure par heure'!F95="","",'Heure par heure'!F95-N('Heure par heure'!F94))</f>
        <v/>
      </c>
      <c r="F95" s="3">
        <f>IF('Heure par heure'!G95="","",'Heure par heure'!G95-N('Heure par heure'!G94))</f>
        <v/>
      </c>
      <c r="G95" s="3">
        <f>IF('Heure par heure'!H95="","",'Heure par heure'!H95-N('Heure par heure'!H94))</f>
        <v/>
      </c>
      <c r="H95" s="3">
        <f>IF('Heure par heure'!I95="","",'Heure par heure'!I95-N('Heure par heure'!I94))</f>
        <v/>
      </c>
      <c r="I95" s="3">
        <f>IF('Heure par heure'!J95="","",'Heure par heure'!J95-N('Heure par heure'!J94))</f>
        <v/>
      </c>
      <c r="J95" s="3">
        <f>IF('Heure par heure'!K95="","",'Heure par heure'!K95-N('Heure par heure'!K94))</f>
        <v/>
      </c>
      <c r="K95" s="3">
        <f>IF('Heure par heure'!L95="","",'Heure par heure'!L95-N('Heure par heure'!L94))</f>
        <v/>
      </c>
      <c r="L95" s="3">
        <f>SUM(B95:K95)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2026-10-30T10:41:40Z</dcterms:created>
  <dcterms:modified xsi:type="dcterms:W3CDTF">2026-10-30T10:41:40Z</dcterms:modified>
</cp:coreProperties>
</file>