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jour'!$A$2:$A$12</f>
            </numRef>
          </cat>
          <val>
            <numRef>
              <f>'Jour par jour'!$B$2:$B$12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jour'!$A$2:$A$12</f>
            </numRef>
          </cat>
          <val>
            <numRef>
              <f>'Jour par jour'!$E$2:$E$12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jour'!$A$2:$A$12</f>
            </numRef>
          </cat>
          <val>
            <numRef>
              <f>'Jour par jour'!$L$2:$L$12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jour'!$A$2:$A$12</f>
            </numRef>
          </cat>
          <val>
            <numRef>
              <f>'Jour par jour'!$F$2:$F$12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jour'!$A$2:$A$12</f>
            </numRef>
          </cat>
          <val>
            <numRef>
              <f>'Jour par jour'!$H$2:$H$12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jour'!$A$2:$A$12</f>
            </numRef>
          </cat>
          <val>
            <numRef>
              <f>'Jour par jour'!$C$2:$C$12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'Vidéos'!$D$2:$D$16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'Vidéos'!$F$2:$F$16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'Vidéos'!$G$2:$G$16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'Vidéos'!$H$2:$H$16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'Vidéos'!$I$2:$I$16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'Vidéos'!$K$2:$K$16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vidéo'!$B$2:$B$12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vidéo'!$C$2:$C$12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vidéo'!$D$2:$D$12</f>
            </numRef>
          </val>
        </ser>
        <ser>
          <idx val="3"/>
          <order val="3"/>
          <tx>
            <strRef>
              <f>'Évolution par vidéo'!E1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vidéo'!$E$2:$E$12</f>
            </numRef>
          </val>
        </ser>
        <ser>
          <idx val="4"/>
          <order val="4"/>
          <tx>
            <strRef>
              <f>'Évolution par vidéo'!F1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vidéo'!$F$2:$F$12</f>
            </numRef>
          </val>
        </ser>
        <ser>
          <idx val="5"/>
          <order val="5"/>
          <tx>
            <strRef>
              <f>'Évolution par vidéo'!G1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vidéo'!$G$2:$G$12</f>
            </numRef>
          </val>
        </ser>
        <ser>
          <idx val="6"/>
          <order val="6"/>
          <tx>
            <strRef>
              <f>'Évolution par vidéo'!H1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vidéo'!$H$2:$H$12</f>
            </numRef>
          </val>
        </ser>
        <ser>
          <idx val="7"/>
          <order val="7"/>
          <tx>
            <strRef>
              <f>'Évolution par vidéo'!I1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vidéo'!$I$2:$I$12</f>
            </numRef>
          </val>
        </ser>
        <ser>
          <idx val="8"/>
          <order val="8"/>
          <tx>
            <strRef>
              <f>'Évolution par vidéo'!J1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vidéo'!$J$2:$J$12</f>
            </numRef>
          </val>
        </ser>
        <ser>
          <idx val="9"/>
          <order val="9"/>
          <tx>
            <strRef>
              <f>'Évolution par vidéo'!K1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vidéo'!$K$2:$K$12</f>
            </numRef>
          </val>
        </ser>
        <ser>
          <idx val="10"/>
          <order val="10"/>
          <tx>
            <strRef>
              <f>'Évolution par vidéo'!L1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vidéo'!$L$2:$L$12</f>
            </numRef>
          </val>
        </ser>
        <ser>
          <idx val="11"/>
          <order val="11"/>
          <tx>
            <strRef>
              <f>'Évolution par vidéo'!M1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vidéo'!$M$2:$M$12</f>
            </numRef>
          </val>
        </ser>
        <ser>
          <idx val="12"/>
          <order val="12"/>
          <tx>
            <strRef>
              <f>'Évolution par vidéo'!N1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vidéo'!$N$2:$N$12</f>
            </numRef>
          </val>
        </ser>
        <ser>
          <idx val="13"/>
          <order val="13"/>
          <tx>
            <strRef>
              <f>'Évolution par vidéo'!O1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vidéo'!$O$2:$O$12</f>
            </numRef>
          </val>
        </ser>
        <ser>
          <idx val="14"/>
          <order val="14"/>
          <tx>
            <strRef>
              <f>'Évolution par vidéo'!P1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vidéo'!$P$2:$P$12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vidéo'!$B$2:$B$12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vidéo'!$C$2:$C$12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vidéo'!$D$2:$D$12</f>
            </numRef>
          </val>
        </ser>
        <ser>
          <idx val="3"/>
          <order val="3"/>
          <tx>
            <strRef>
              <f>'Vues du jour par vidéo'!E1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vidéo'!$E$2:$E$12</f>
            </numRef>
          </val>
        </ser>
        <ser>
          <idx val="4"/>
          <order val="4"/>
          <tx>
            <strRef>
              <f>'Vues du jour par vidéo'!F1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vidéo'!$F$2:$F$12</f>
            </numRef>
          </val>
        </ser>
        <ser>
          <idx val="5"/>
          <order val="5"/>
          <tx>
            <strRef>
              <f>'Vues du jour par vidéo'!G1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vidéo'!$G$2:$G$12</f>
            </numRef>
          </val>
        </ser>
        <ser>
          <idx val="6"/>
          <order val="6"/>
          <tx>
            <strRef>
              <f>'Vues du jour par vidéo'!H1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vidéo'!$H$2:$H$12</f>
            </numRef>
          </val>
        </ser>
        <ser>
          <idx val="7"/>
          <order val="7"/>
          <tx>
            <strRef>
              <f>'Vues du jour par vidéo'!I1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vidéo'!$I$2:$I$12</f>
            </numRef>
          </val>
        </ser>
        <ser>
          <idx val="8"/>
          <order val="8"/>
          <tx>
            <strRef>
              <f>'Vues du jour par vidéo'!J1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vidéo'!$J$2:$J$12</f>
            </numRef>
          </val>
        </ser>
        <ser>
          <idx val="9"/>
          <order val="9"/>
          <tx>
            <strRef>
              <f>'Vues du jour par vidéo'!K1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vidéo'!$K$2:$K$12</f>
            </numRef>
          </val>
        </ser>
        <ser>
          <idx val="10"/>
          <order val="10"/>
          <tx>
            <strRef>
              <f>'Vues du jour par vidéo'!L1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vidéo'!$L$2:$L$12</f>
            </numRef>
          </val>
        </ser>
        <ser>
          <idx val="11"/>
          <order val="11"/>
          <tx>
            <strRef>
              <f>'Vues du jour par vidéo'!M1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vidéo'!$M$2:$M$12</f>
            </numRef>
          </val>
        </ser>
        <ser>
          <idx val="12"/>
          <order val="12"/>
          <tx>
            <strRef>
              <f>'Vues du jour par vidéo'!N1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vidéo'!$N$2:$N$12</f>
            </numRef>
          </val>
        </ser>
        <ser>
          <idx val="13"/>
          <order val="13"/>
          <tx>
            <strRef>
              <f>'Vues du jour par vidéo'!O1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vidéo'!$O$2:$O$12</f>
            </numRef>
          </val>
        </ser>
        <ser>
          <idx val="14"/>
          <order val="14"/>
          <tx>
            <strRef>
              <f>'Vues du jour par vidéo'!P1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vidéo'!$P$2:$P$12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heure'!$A$2:$A$62</f>
            </numRef>
          </cat>
          <val>
            <numRef>
              <f>'Heure par heure'!$C$2:$C$62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heure'!$A$2:$A$62</f>
            </numRef>
          </cat>
          <val>
            <numRef>
              <f>'Heure par heure'!$D$2:$D$62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heure'!$A$2:$A$62</f>
            </numRef>
          </cat>
          <val>
            <numRef>
              <f>'Heure par heure'!$E$2:$E$62</f>
            </numRef>
          </val>
        </ser>
        <ser>
          <idx val="3"/>
          <order val="3"/>
          <tx>
            <strRef>
              <f>'Heure par heure'!F1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heure'!$A$2:$A$62</f>
            </numRef>
          </cat>
          <val>
            <numRef>
              <f>'Heure par heure'!$F$2:$F$62</f>
            </numRef>
          </val>
        </ser>
        <ser>
          <idx val="4"/>
          <order val="4"/>
          <tx>
            <strRef>
              <f>'Heure par heure'!G1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heure'!$A$2:$A$62</f>
            </numRef>
          </cat>
          <val>
            <numRef>
              <f>'Heure par heure'!$G$2:$G$62</f>
            </numRef>
          </val>
        </ser>
        <ser>
          <idx val="5"/>
          <order val="5"/>
          <tx>
            <strRef>
              <f>'Heure par heure'!H1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heure'!$A$2:$A$62</f>
            </numRef>
          </cat>
          <val>
            <numRef>
              <f>'Heure par heure'!$H$2:$H$62</f>
            </numRef>
          </val>
        </ser>
        <ser>
          <idx val="6"/>
          <order val="6"/>
          <tx>
            <strRef>
              <f>'Heure par heure'!I1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heure'!$A$2:$A$62</f>
            </numRef>
          </cat>
          <val>
            <numRef>
              <f>'Heure par heure'!$I$2:$I$62</f>
            </numRef>
          </val>
        </ser>
        <ser>
          <idx val="7"/>
          <order val="7"/>
          <tx>
            <strRef>
              <f>'Heure par heure'!J1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heure'!$A$2:$A$62</f>
            </numRef>
          </cat>
          <val>
            <numRef>
              <f>'Heure par heure'!$J$2:$J$62</f>
            </numRef>
          </val>
        </ser>
        <ser>
          <idx val="8"/>
          <order val="8"/>
          <tx>
            <strRef>
              <f>'Heure par heure'!K1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heure'!$A$2:$A$62</f>
            </numRef>
          </cat>
          <val>
            <numRef>
              <f>'Heure par heure'!$K$2:$K$62</f>
            </numRef>
          </val>
        </ser>
        <ser>
          <idx val="9"/>
          <order val="9"/>
          <tx>
            <strRef>
              <f>'Heure par heure'!L1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heure'!$A$2:$A$62</f>
            </numRef>
          </cat>
          <val>
            <numRef>
              <f>'Heure par heure'!$L$2:$L$62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heure'!$A$2:$A$62</f>
            </numRef>
          </cat>
          <val>
            <numRef>
              <f>'Heure par heure'!$B$2:$B$62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heure'!M1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heure'!$A$2:$A$62</f>
            </numRef>
          </cat>
          <val>
            <numRef>
              <f>'Heure par heure'!$M$2:$M$62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heure'!$A$2:$A$62</f>
            </numRef>
          </cat>
          <val>
            <numRef>
              <f>'Vues gagnées par heure'!$B$2:$B$62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heure'!$A$2:$A$62</f>
            </numRef>
          </cat>
          <val>
            <numRef>
              <f>'Vues gagnées par heure'!$C$2:$C$62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heure'!$A$2:$A$62</f>
            </numRef>
          </cat>
          <val>
            <numRef>
              <f>'Vues gagnées par heure'!$D$2:$D$62</f>
            </numRef>
          </val>
        </ser>
        <ser>
          <idx val="3"/>
          <order val="3"/>
          <tx>
            <strRef>
              <f>'Vues gagnées par heure'!E1</f>
            </strRef>
          </tx>
          <spPr>
            <a:ln>
              <a:prstDash val="solid"/>
            </a:ln>
          </spPr>
          <cat>
            <numRef>
              <f>'Vues gagnées par heure'!$A$2:$A$62</f>
            </numRef>
          </cat>
          <val>
            <numRef>
              <f>'Vues gagnées par heure'!$E$2:$E$62</f>
            </numRef>
          </val>
        </ser>
        <ser>
          <idx val="4"/>
          <order val="4"/>
          <tx>
            <strRef>
              <f>'Vues gagnées par heure'!F1</f>
            </strRef>
          </tx>
          <spPr>
            <a:ln>
              <a:prstDash val="solid"/>
            </a:ln>
          </spPr>
          <cat>
            <numRef>
              <f>'Vues gagnées par heure'!$A$2:$A$62</f>
            </numRef>
          </cat>
          <val>
            <numRef>
              <f>'Vues gagnées par heure'!$F$2:$F$62</f>
            </numRef>
          </val>
        </ser>
        <ser>
          <idx val="5"/>
          <order val="5"/>
          <tx>
            <strRef>
              <f>'Vues gagnées par heure'!G1</f>
            </strRef>
          </tx>
          <spPr>
            <a:ln>
              <a:prstDash val="solid"/>
            </a:ln>
          </spPr>
          <cat>
            <numRef>
              <f>'Vues gagnées par heure'!$A$2:$A$62</f>
            </numRef>
          </cat>
          <val>
            <numRef>
              <f>'Vues gagnées par heure'!$G$2:$G$62</f>
            </numRef>
          </val>
        </ser>
        <ser>
          <idx val="6"/>
          <order val="6"/>
          <tx>
            <strRef>
              <f>'Vues gagnées par heure'!H1</f>
            </strRef>
          </tx>
          <spPr>
            <a:ln>
              <a:prstDash val="solid"/>
            </a:ln>
          </spPr>
          <cat>
            <numRef>
              <f>'Vues gagnées par heure'!$A$2:$A$62</f>
            </numRef>
          </cat>
          <val>
            <numRef>
              <f>'Vues gagnées par heure'!$H$2:$H$62</f>
            </numRef>
          </val>
        </ser>
        <ser>
          <idx val="7"/>
          <order val="7"/>
          <tx>
            <strRef>
              <f>'Vues gagnées par heure'!I1</f>
            </strRef>
          </tx>
          <spPr>
            <a:ln>
              <a:prstDash val="solid"/>
            </a:ln>
          </spPr>
          <cat>
            <numRef>
              <f>'Vues gagnées par heure'!$A$2:$A$62</f>
            </numRef>
          </cat>
          <val>
            <numRef>
              <f>'Vues gagnées par heure'!$I$2:$I$62</f>
            </numRef>
          </val>
        </ser>
        <ser>
          <idx val="8"/>
          <order val="8"/>
          <tx>
            <strRef>
              <f>'Vues gagnées par heure'!J1</f>
            </strRef>
          </tx>
          <spPr>
            <a:ln>
              <a:prstDash val="solid"/>
            </a:ln>
          </spPr>
          <cat>
            <numRef>
              <f>'Vues gagnées par heure'!$A$2:$A$62</f>
            </numRef>
          </cat>
          <val>
            <numRef>
              <f>'Vues gagnées par heure'!$J$2:$J$62</f>
            </numRef>
          </val>
        </ser>
        <ser>
          <idx val="9"/>
          <order val="9"/>
          <tx>
            <strRef>
              <f>'Vues gagnées par heure'!K1</f>
            </strRef>
          </tx>
          <spPr>
            <a:ln>
              <a:prstDash val="solid"/>
            </a:ln>
          </spPr>
          <cat>
            <numRef>
              <f>'Vues gagnées par heure'!$A$2:$A$62</f>
            </numRef>
          </cat>
          <val>
            <numRef>
              <f>'Vues gagnées par heure'!$K$2:$K$62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'Stories'!$A$2:$A$48</f>
            </numRef>
          </cat>
          <val>
            <numRef>
              <f>'Stories'!$B$2:$B$48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34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14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81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81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64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rN1lWgqYL/" TargetMode="External" Id="rId1" /><Relationship Type="http://schemas.openxmlformats.org/officeDocument/2006/relationships/hyperlink" Target="https://www.instagram.com/reel/Der2bYjllOT/" TargetMode="External" Id="rId2" /><Relationship Type="http://schemas.openxmlformats.org/officeDocument/2006/relationships/hyperlink" Target="https://www.instagram.com/reel/DetoG3RDRGR/" TargetMode="External" Id="rId3" /><Relationship Type="http://schemas.openxmlformats.org/officeDocument/2006/relationships/hyperlink" Target="https://www.instagram.com/reel/DeuORmrje2X/" TargetMode="External" Id="rId4" /><Relationship Type="http://schemas.openxmlformats.org/officeDocument/2006/relationships/hyperlink" Target="https://www.instagram.com/reel/Dev7vAwiHPF/" TargetMode="External" Id="rId5" /><Relationship Type="http://schemas.openxmlformats.org/officeDocument/2006/relationships/hyperlink" Target="https://www.instagram.com/reel/DewXqdggjen/" TargetMode="External" Id="rId6" /><Relationship Type="http://schemas.openxmlformats.org/officeDocument/2006/relationships/hyperlink" Target="https://www.instagram.com/reel/DewzPEDkwDC/" TargetMode="External" Id="rId7" /><Relationship Type="http://schemas.openxmlformats.org/officeDocument/2006/relationships/hyperlink" Target="https://www.instagram.com/reel/Dey8pqJjxZe/" TargetMode="External" Id="rId8" /><Relationship Type="http://schemas.openxmlformats.org/officeDocument/2006/relationships/hyperlink" Target="https://www.instagram.com/reel/De4IrjoAfMV/" TargetMode="External" Id="rId9" /><Relationship Type="http://schemas.openxmlformats.org/officeDocument/2006/relationships/hyperlink" Target="https://www.instagram.com/reel/De4SjlaiLAP/" TargetMode="External" Id="rId10" /><Relationship Type="http://schemas.openxmlformats.org/officeDocument/2006/relationships/hyperlink" Target="https://www.instagram.com/reel/De4wFkgEjfv/" TargetMode="External" Id="rId11" /><Relationship Type="http://schemas.openxmlformats.org/officeDocument/2006/relationships/hyperlink" Target="https://www.instagram.com/reel/De63hUGjyxb/" TargetMode="External" Id="rId12" /><Relationship Type="http://schemas.openxmlformats.org/officeDocument/2006/relationships/hyperlink" Target="https://www.instagram.com/reel/De63r8EkQ6Y/" TargetMode="External" Id="rId13" /><Relationship Type="http://schemas.openxmlformats.org/officeDocument/2006/relationships/hyperlink" Target="https://www.instagram.com/reel/De7PS5wCqiN/" TargetMode="External" Id="rId14" /><Relationship Type="http://schemas.openxmlformats.org/officeDocument/2006/relationships/hyperlink" Target="https://www.instagram.com/reel/De_SOGKACX-/" TargetMode="External" Id="rId15" /><Relationship Type="http://schemas.openxmlformats.org/officeDocument/2006/relationships/drawing" Target="/xl/drawings/drawing2.xml" Id="rId16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actu/4010082643597439666" TargetMode="External" Id="rId1" /><Relationship Type="http://schemas.openxmlformats.org/officeDocument/2006/relationships/hyperlink" Target="https://www.instagram.com/stories/decodeactu/4010085165683465949" TargetMode="External" Id="rId2" /><Relationship Type="http://schemas.openxmlformats.org/officeDocument/2006/relationships/hyperlink" Target="https://www.instagram.com/stories/decodeactu/4010580444979118418" TargetMode="External" Id="rId3" /><Relationship Type="http://schemas.openxmlformats.org/officeDocument/2006/relationships/hyperlink" Target="https://www.instagram.com/stories/decodeactu/4010591233256788578" TargetMode="External" Id="rId4" /><Relationship Type="http://schemas.openxmlformats.org/officeDocument/2006/relationships/hyperlink" Target="https://www.instagram.com/stories/decodeactu/4010666015784838411" TargetMode="External" Id="rId5" /><Relationship Type="http://schemas.openxmlformats.org/officeDocument/2006/relationships/hyperlink" Target="https://www.instagram.com/stories/decodeactu/4010666140154335585" TargetMode="External" Id="rId6" /><Relationship Type="http://schemas.openxmlformats.org/officeDocument/2006/relationships/hyperlink" Target="https://www.instagram.com/stories/decodeactu/4010690394136360817" TargetMode="External" Id="rId7" /><Relationship Type="http://schemas.openxmlformats.org/officeDocument/2006/relationships/hyperlink" Target="https://www.instagram.com/stories/decodeactu/4010870598054531991" TargetMode="External" Id="rId8" /><Relationship Type="http://schemas.openxmlformats.org/officeDocument/2006/relationships/hyperlink" Target="https://www.instagram.com/stories/decodeactu/4010884840560370844" TargetMode="External" Id="rId9" /><Relationship Type="http://schemas.openxmlformats.org/officeDocument/2006/relationships/hyperlink" Target="https://www.instagram.com/stories/decodeactu/4011184619395494112" TargetMode="External" Id="rId10" /><Relationship Type="http://schemas.openxmlformats.org/officeDocument/2006/relationships/hyperlink" Target="https://www.instagram.com/stories/decodeactu/4011206044512788419" TargetMode="External" Id="rId11" /><Relationship Type="http://schemas.openxmlformats.org/officeDocument/2006/relationships/hyperlink" Target="https://www.instagram.com/stories/decodeactu/4011244883063248653" TargetMode="External" Id="rId12" /><Relationship Type="http://schemas.openxmlformats.org/officeDocument/2006/relationships/hyperlink" Target="https://www.instagram.com/stories/decodeactu/4011245014529499175" TargetMode="External" Id="rId13" /><Relationship Type="http://schemas.openxmlformats.org/officeDocument/2006/relationships/hyperlink" Target="https://www.instagram.com/stories/decodeactu/4011246901605914493" TargetMode="External" Id="rId14" /><Relationship Type="http://schemas.openxmlformats.org/officeDocument/2006/relationships/hyperlink" Target="https://www.instagram.com/stories/decodeactu/4011272620515678186" TargetMode="External" Id="rId15" /><Relationship Type="http://schemas.openxmlformats.org/officeDocument/2006/relationships/hyperlink" Target="https://www.instagram.com/stories/decodeactu/4011273942141182263" TargetMode="External" Id="rId16" /><Relationship Type="http://schemas.openxmlformats.org/officeDocument/2006/relationships/hyperlink" Target="https://www.instagram.com/stories/decodeactu/4011274495344325312" TargetMode="External" Id="rId17" /><Relationship Type="http://schemas.openxmlformats.org/officeDocument/2006/relationships/hyperlink" Target="https://www.instagram.com/stories/decodeactu/4011361379043453867" TargetMode="External" Id="rId18" /><Relationship Type="http://schemas.openxmlformats.org/officeDocument/2006/relationships/hyperlink" Target="https://www.instagram.com/stories/decodeactu/4011361490788153119" TargetMode="External" Id="rId19" /><Relationship Type="http://schemas.openxmlformats.org/officeDocument/2006/relationships/hyperlink" Target="https://www.instagram.com/stories/decodeactu/4011539666742908595" TargetMode="External" Id="rId20" /><Relationship Type="http://schemas.openxmlformats.org/officeDocument/2006/relationships/hyperlink" Target="https://www.instagram.com/stories/decodeactu/4011969966597933986" TargetMode="External" Id="rId21" /><Relationship Type="http://schemas.openxmlformats.org/officeDocument/2006/relationships/hyperlink" Target="https://www.instagram.com/stories/decodeactu/4012039801088150752" TargetMode="External" Id="rId22" /><Relationship Type="http://schemas.openxmlformats.org/officeDocument/2006/relationships/hyperlink" Target="https://www.instagram.com/stories/decodeactu/4012039943837071141" TargetMode="External" Id="rId23" /><Relationship Type="http://schemas.openxmlformats.org/officeDocument/2006/relationships/hyperlink" Target="https://www.instagram.com/stories/decodeactu/4012132574386942983" TargetMode="External" Id="rId24" /><Relationship Type="http://schemas.openxmlformats.org/officeDocument/2006/relationships/hyperlink" Target="https://www.instagram.com/stories/decodeactu/4012207678374431526" TargetMode="External" Id="rId25" /><Relationship Type="http://schemas.openxmlformats.org/officeDocument/2006/relationships/hyperlink" Target="https://www.instagram.com/stories/decodeactu/4012667101185949589" TargetMode="External" Id="rId26" /><Relationship Type="http://schemas.openxmlformats.org/officeDocument/2006/relationships/hyperlink" Target="https://www.instagram.com/stories/decodeactu/4012689022548033578" TargetMode="External" Id="rId27" /><Relationship Type="http://schemas.openxmlformats.org/officeDocument/2006/relationships/hyperlink" Target="https://www.instagram.com/stories/decodeactu/4012750071917523183" TargetMode="External" Id="rId28" /><Relationship Type="http://schemas.openxmlformats.org/officeDocument/2006/relationships/hyperlink" Target="https://www.instagram.com/stories/decodeactu/4012811853110464305" TargetMode="External" Id="rId29" /><Relationship Type="http://schemas.openxmlformats.org/officeDocument/2006/relationships/hyperlink" Target="https://www.instagram.com/stories/decodeactu/4012901221690811980" TargetMode="External" Id="rId30" /><Relationship Type="http://schemas.openxmlformats.org/officeDocument/2006/relationships/hyperlink" Target="https://www.instagram.com/stories/decodeactu/4012933171482325794" TargetMode="External" Id="rId31" /><Relationship Type="http://schemas.openxmlformats.org/officeDocument/2006/relationships/hyperlink" Target="https://www.instagram.com/stories/decodeactu/4013418547984573890" TargetMode="External" Id="rId32" /><Relationship Type="http://schemas.openxmlformats.org/officeDocument/2006/relationships/hyperlink" Target="https://www.instagram.com/stories/decodeactu/4013537525339613060" TargetMode="External" Id="rId33" /><Relationship Type="http://schemas.openxmlformats.org/officeDocument/2006/relationships/hyperlink" Target="https://www.instagram.com/stories/decodeactu/4014923972316205667" TargetMode="External" Id="rId34" /><Relationship Type="http://schemas.openxmlformats.org/officeDocument/2006/relationships/hyperlink" Target="https://www.instagram.com/stories/decodeactu/4014997794356743780" TargetMode="External" Id="rId35" /><Relationship Type="http://schemas.openxmlformats.org/officeDocument/2006/relationships/hyperlink" Target="https://www.instagram.com/stories/decodeactu/4015041228345607820" TargetMode="External" Id="rId36" /><Relationship Type="http://schemas.openxmlformats.org/officeDocument/2006/relationships/hyperlink" Target="https://www.instagram.com/stories/decodeactu/4015041354560585133" TargetMode="External" Id="rId37" /><Relationship Type="http://schemas.openxmlformats.org/officeDocument/2006/relationships/hyperlink" Target="https://www.instagram.com/stories/decodeactu/4015041982917596318" TargetMode="External" Id="rId38" /><Relationship Type="http://schemas.openxmlformats.org/officeDocument/2006/relationships/hyperlink" Target="https://www.instagram.com/stories/decodeactu/4015132078463115190" TargetMode="External" Id="rId39" /><Relationship Type="http://schemas.openxmlformats.org/officeDocument/2006/relationships/hyperlink" Target="https://www.instagram.com/stories/decodeactu/4015171033832703893" TargetMode="External" Id="rId40" /><Relationship Type="http://schemas.openxmlformats.org/officeDocument/2006/relationships/hyperlink" Target="https://www.instagram.com/stories/decodeactu/4015741623493632842" TargetMode="External" Id="rId41" /><Relationship Type="http://schemas.openxmlformats.org/officeDocument/2006/relationships/hyperlink" Target="https://www.instagram.com/stories/decodeactu/4015766774570776049" TargetMode="External" Id="rId42" /><Relationship Type="http://schemas.openxmlformats.org/officeDocument/2006/relationships/hyperlink" Target="https://www.instagram.com/stories/decodeactu/4015767537489537076" TargetMode="External" Id="rId43" /><Relationship Type="http://schemas.openxmlformats.org/officeDocument/2006/relationships/hyperlink" Target="https://www.instagram.com/stories/decodeactu/4015779977735830798" TargetMode="External" Id="rId44" /><Relationship Type="http://schemas.openxmlformats.org/officeDocument/2006/relationships/hyperlink" Target="https://www.instagram.com/stories/decodeactu/4015871364691326327" TargetMode="External" Id="rId45" /><Relationship Type="http://schemas.openxmlformats.org/officeDocument/2006/relationships/hyperlink" Target="https://www.instagram.com/stories/decodeactu/4017010250876675593" TargetMode="External" Id="rId46" /><Relationship Type="http://schemas.openxmlformats.org/officeDocument/2006/relationships/hyperlink" Target="https://www.instagram.com/stories/decodeactu/4017131993889283755" TargetMode="External" Id="rId47" /><Relationship Type="http://schemas.openxmlformats.org/officeDocument/2006/relationships/drawing" Target="/xl/drawings/drawing7.xml" Id="rId4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2026-10-18</t>
        </is>
      </c>
      <c r="B2" s="3" t="n">
        <v>4</v>
      </c>
      <c r="C2" s="3">
        <f>IF(ROW()=2,"",B2-B1)</f>
        <v/>
      </c>
      <c r="D2" s="3" t="n">
        <v>868</v>
      </c>
      <c r="E2" s="3">
        <f>IF(ROW()=2,D2,D2-D1)</f>
        <v/>
      </c>
      <c r="F2" s="3" t="n">
        <v>728</v>
      </c>
      <c r="G2" s="3" t="n">
        <v>880</v>
      </c>
      <c r="H2" s="3" t="n">
        <v>19</v>
      </c>
      <c r="I2" s="3" t="n">
        <v>11</v>
      </c>
      <c r="J2" s="3" t="n">
        <v>28</v>
      </c>
      <c r="K2" s="3" t="n">
        <v>0</v>
      </c>
      <c r="L2" s="3" t="n">
        <v>32</v>
      </c>
      <c r="M2" s="3" t="n">
        <v>4</v>
      </c>
    </row>
    <row r="3">
      <c r="A3" s="2" t="inlineStr">
        <is>
          <t>2026-10-19</t>
        </is>
      </c>
      <c r="B3" s="3" t="n">
        <v>4</v>
      </c>
      <c r="C3" s="3">
        <f>IF(ROW()=2,"",B3-B2)</f>
        <v/>
      </c>
      <c r="D3" s="3" t="n">
        <v>2318</v>
      </c>
      <c r="E3" s="3">
        <f>IF(ROW()=2,D3,D3-D2)</f>
        <v/>
      </c>
      <c r="F3" s="3" t="n">
        <v>1728</v>
      </c>
      <c r="G3" s="3" t="n">
        <v>2154</v>
      </c>
      <c r="H3" s="3" t="n">
        <v>17</v>
      </c>
      <c r="I3" s="3" t="n">
        <v>30</v>
      </c>
      <c r="J3" s="3" t="n">
        <v>48</v>
      </c>
      <c r="K3" s="3" t="n">
        <v>0</v>
      </c>
      <c r="L3" s="3" t="n">
        <v>14</v>
      </c>
      <c r="M3" s="3" t="n">
        <v>4</v>
      </c>
    </row>
    <row r="4">
      <c r="A4" s="2" t="inlineStr">
        <is>
          <t>2026-10-20</t>
        </is>
      </c>
      <c r="B4" s="3" t="n">
        <v>4</v>
      </c>
      <c r="C4" s="3">
        <f>IF(ROW()=2,"",B4-B3)</f>
        <v/>
      </c>
      <c r="D4" s="3" t="n">
        <v>2620</v>
      </c>
      <c r="E4" s="3">
        <f>IF(ROW()=2,D4,D4-D3)</f>
        <v/>
      </c>
      <c r="F4" s="3" t="n">
        <v>831</v>
      </c>
      <c r="G4" s="3" t="n">
        <v>1000</v>
      </c>
      <c r="H4" s="3" t="n">
        <v>6</v>
      </c>
      <c r="I4" s="3" t="n">
        <v>8</v>
      </c>
      <c r="J4" s="3" t="n">
        <v>16</v>
      </c>
      <c r="K4" s="3" t="n">
        <v>0</v>
      </c>
      <c r="L4" s="3" t="n">
        <v>4</v>
      </c>
      <c r="M4" s="3" t="n">
        <v>1</v>
      </c>
    </row>
    <row r="5">
      <c r="A5" s="2" t="inlineStr">
        <is>
          <t>2026-10-21</t>
        </is>
      </c>
      <c r="B5" s="3" t="n">
        <v>4</v>
      </c>
      <c r="C5" s="3">
        <f>IF(ROW()=2,"",B5-B4)</f>
        <v/>
      </c>
      <c r="D5" s="3" t="n">
        <v>2977</v>
      </c>
      <c r="E5" s="3">
        <f>IF(ROW()=2,D5,D5-D4)</f>
        <v/>
      </c>
      <c r="F5" s="3" t="n">
        <v>363</v>
      </c>
      <c r="G5" s="3" t="n">
        <v>453</v>
      </c>
      <c r="H5" s="3" t="n">
        <v>4</v>
      </c>
      <c r="I5" s="3" t="n">
        <v>4</v>
      </c>
      <c r="J5" s="3" t="n">
        <v>7</v>
      </c>
      <c r="K5" s="3" t="n">
        <v>0</v>
      </c>
      <c r="L5" s="3" t="n">
        <v>9</v>
      </c>
      <c r="M5" s="3" t="n">
        <v>2</v>
      </c>
    </row>
    <row r="6">
      <c r="A6" s="2" t="inlineStr">
        <is>
          <t>2026-10-22</t>
        </is>
      </c>
      <c r="B6" s="3" t="n">
        <v>4</v>
      </c>
      <c r="C6" s="3">
        <f>IF(ROW()=2,"",B6-B5)</f>
        <v/>
      </c>
      <c r="D6" s="3" t="n">
        <v>2728</v>
      </c>
      <c r="E6" s="3">
        <f>IF(ROW()=2,D6,D6-D5)</f>
        <v/>
      </c>
      <c r="F6" s="3" t="n">
        <v>343</v>
      </c>
      <c r="G6" s="3" t="n">
        <v>431</v>
      </c>
      <c r="H6" s="3" t="n">
        <v>2</v>
      </c>
      <c r="I6" s="3" t="n">
        <v>2</v>
      </c>
      <c r="J6" s="3" t="n">
        <v>4</v>
      </c>
      <c r="K6" s="3" t="n">
        <v>0</v>
      </c>
      <c r="L6" s="3" t="n">
        <v>3</v>
      </c>
      <c r="M6" s="3" t="n">
        <v>1</v>
      </c>
    </row>
    <row r="7">
      <c r="A7" s="2" t="inlineStr">
        <is>
          <t>2026-10-23</t>
        </is>
      </c>
      <c r="B7" s="3" t="n">
        <v>4</v>
      </c>
      <c r="C7" s="3">
        <f>IF(ROW()=2,"",B7-B6)</f>
        <v/>
      </c>
      <c r="D7" s="3" t="n">
        <v>2770</v>
      </c>
      <c r="E7" s="3">
        <f>IF(ROW()=2,D7,D7-D6)</f>
        <v/>
      </c>
      <c r="F7" s="3" t="n">
        <v>71</v>
      </c>
      <c r="G7" s="3" t="n">
        <v>81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</row>
    <row r="8">
      <c r="A8" s="2" t="inlineStr">
        <is>
          <t>2026-10-24</t>
        </is>
      </c>
      <c r="B8" s="3" t="n">
        <v>4</v>
      </c>
      <c r="C8" s="3">
        <f>IF(ROW()=2,"",B8-B7)</f>
        <v/>
      </c>
      <c r="D8" s="3" t="n">
        <v>2589</v>
      </c>
      <c r="E8" s="3">
        <f>IF(ROW()=2,D8,D8-D7)</f>
        <v/>
      </c>
      <c r="F8" s="3" t="n">
        <v>131</v>
      </c>
      <c r="G8" s="3" t="n">
        <v>149</v>
      </c>
      <c r="H8" s="3" t="n">
        <v>6</v>
      </c>
      <c r="I8" s="3" t="n">
        <v>1</v>
      </c>
      <c r="J8" s="3" t="n">
        <v>2</v>
      </c>
      <c r="K8" s="3" t="n">
        <v>0</v>
      </c>
      <c r="L8" s="3" t="n">
        <v>12</v>
      </c>
      <c r="M8" s="3" t="n">
        <v>2</v>
      </c>
    </row>
    <row r="9">
      <c r="A9" s="2" t="inlineStr">
        <is>
          <t>2026-10-25</t>
        </is>
      </c>
      <c r="B9" s="3" t="n">
        <v>6</v>
      </c>
      <c r="C9" s="3">
        <f>IF(ROW()=2,"",B9-B8)</f>
        <v/>
      </c>
      <c r="D9" s="3" t="n">
        <v>1609</v>
      </c>
      <c r="E9" s="3">
        <f>IF(ROW()=2,D9,D9-D8)</f>
        <v/>
      </c>
      <c r="F9" s="3" t="n">
        <v>446</v>
      </c>
      <c r="G9" s="3" t="n">
        <v>529</v>
      </c>
      <c r="H9" s="3" t="n">
        <v>10</v>
      </c>
      <c r="I9" s="3" t="n">
        <v>5</v>
      </c>
      <c r="J9" s="3" t="n">
        <v>12</v>
      </c>
      <c r="K9" s="3" t="n">
        <v>0</v>
      </c>
      <c r="L9" s="3" t="n">
        <v>5</v>
      </c>
      <c r="M9" s="3" t="n">
        <v>2</v>
      </c>
    </row>
    <row r="10">
      <c r="A10" s="2" t="inlineStr">
        <is>
          <t>2026-10-26</t>
        </is>
      </c>
      <c r="B10" s="3" t="n">
        <v>7</v>
      </c>
      <c r="C10" s="3">
        <f>IF(ROW()=2,"",B10-B9)</f>
        <v/>
      </c>
      <c r="D10" s="3" t="n">
        <v>1864</v>
      </c>
      <c r="E10" s="3">
        <f>IF(ROW()=2,D10,D10-D9)</f>
        <v/>
      </c>
      <c r="F10" s="3" t="n">
        <v>373</v>
      </c>
      <c r="G10" s="3" t="n">
        <v>452</v>
      </c>
      <c r="H10" s="3" t="n">
        <v>7</v>
      </c>
      <c r="I10" s="3" t="n">
        <v>3</v>
      </c>
      <c r="J10" s="3" t="n">
        <v>8</v>
      </c>
      <c r="K10" s="3" t="n">
        <v>0</v>
      </c>
      <c r="L10" s="3" t="n">
        <v>0</v>
      </c>
      <c r="M10" s="3" t="n">
        <v>0</v>
      </c>
    </row>
    <row r="11">
      <c r="A11" s="2" t="inlineStr">
        <is>
          <t>2026-10-27</t>
        </is>
      </c>
      <c r="B11" s="3" t="n">
        <v>7</v>
      </c>
      <c r="C11" s="3">
        <f>IF(ROW()=2,"",B11-B10)</f>
        <v/>
      </c>
      <c r="D11" s="3" t="n">
        <v>1844</v>
      </c>
      <c r="E11" s="3">
        <f>IF(ROW()=2,D11,D11-D10)</f>
        <v/>
      </c>
      <c r="F11" s="3" t="n">
        <v>88</v>
      </c>
      <c r="G11" s="3" t="n">
        <v>102</v>
      </c>
      <c r="H11" s="3" t="n">
        <v>3</v>
      </c>
      <c r="I11" s="3" t="n">
        <v>1</v>
      </c>
      <c r="J11" s="3" t="n">
        <v>5</v>
      </c>
      <c r="K11" s="3" t="n">
        <v>0</v>
      </c>
      <c r="L11" s="3" t="n">
        <v>1</v>
      </c>
      <c r="M11" s="3" t="n">
        <v>1</v>
      </c>
    </row>
    <row r="12">
      <c r="A12" s="2" t="inlineStr">
        <is>
          <t>2026-10-28</t>
        </is>
      </c>
      <c r="B12" s="3" t="n">
        <v>7</v>
      </c>
      <c r="C12" s="3">
        <f>IF(ROW()=2,"",B12-B11)</f>
        <v/>
      </c>
      <c r="D12" s="3" t="n">
        <v>1859</v>
      </c>
      <c r="E12" s="3">
        <f>IF(ROW()=2,D12,D12-D11)</f>
        <v/>
      </c>
      <c r="F12" s="3" t="n">
        <v>100</v>
      </c>
      <c r="G12" s="3" t="n">
        <v>110</v>
      </c>
      <c r="H12" s="3" t="n">
        <v>1</v>
      </c>
      <c r="I12" s="3" t="n">
        <v>0</v>
      </c>
      <c r="J12" s="3" t="n">
        <v>0</v>
      </c>
      <c r="K12" s="3" t="n">
        <v>0</v>
      </c>
      <c r="L12" s="3" t="n">
        <v>0</v>
      </c>
      <c r="M12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2026-10-19 12:05</t>
        </is>
      </c>
      <c r="B2" s="2" t="inlineStr">
        <is>
          <t xml:space="preserve">📩 « Jeudi 5 novembre, la France s'arrête. -A </t>
        </is>
      </c>
      <c r="C2" s="4" t="inlineStr">
        <is>
          <t>ouvrir</t>
        </is>
      </c>
      <c r="D2" s="3" t="n">
        <v>111</v>
      </c>
      <c r="E2" s="3" t="n">
        <v>104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2026-10-19 17:59</t>
        </is>
      </c>
      <c r="B3" s="2" t="inlineStr">
        <is>
          <t>📖 Il était une fois des agriculteurs en colèr</t>
        </is>
      </c>
      <c r="C3" s="4" t="inlineStr">
        <is>
          <t>ouvrir</t>
        </is>
      </c>
      <c r="D3" s="3" t="n">
        <v>79</v>
      </c>
      <c r="E3" s="3" t="n">
        <v>71</v>
      </c>
      <c r="F3" s="3" t="n">
        <v>1</v>
      </c>
      <c r="G3" s="3" t="n">
        <v>0</v>
      </c>
      <c r="H3" s="3" t="n">
        <v>0</v>
      </c>
      <c r="I3" s="3" t="n">
        <v>0</v>
      </c>
      <c r="J3" s="3" t="n">
        <v>1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2026-10-20 10:33</t>
        </is>
      </c>
      <c r="B4" s="2" t="inlineStr">
        <is>
          <t>Couvre-feux, manifs « encadrées, voire interd</t>
        </is>
      </c>
      <c r="C4" s="4" t="inlineStr">
        <is>
          <t>ouvrir</t>
        </is>
      </c>
      <c r="D4" s="3" t="n">
        <v>158</v>
      </c>
      <c r="E4" s="3" t="n">
        <v>141</v>
      </c>
      <c r="F4" s="3" t="n">
        <v>2</v>
      </c>
      <c r="G4" s="3" t="n">
        <v>0</v>
      </c>
      <c r="H4" s="3" t="n">
        <v>0</v>
      </c>
      <c r="I4" s="3" t="n">
        <v>2</v>
      </c>
      <c r="J4" s="3" t="n">
        <v>5</v>
      </c>
      <c r="K4" s="5">
        <f>IFERROR((F4+G4+H4+I4)/IF(E4&gt;0,E4,D4),0)</f>
        <v/>
      </c>
      <c r="L4" s="6">
        <f>IFERROR(D4/E4,0)</f>
        <v/>
      </c>
    </row>
    <row r="5">
      <c r="A5" s="2" t="inlineStr">
        <is>
          <t>2026-10-20 16:07</t>
        </is>
      </c>
      <c r="B5" s="2" t="inlineStr">
        <is>
          <t>Couvre-feu pour les ados, 5,6 milliards envol</t>
        </is>
      </c>
      <c r="C5" s="4" t="inlineStr">
        <is>
          <t>ouvrir</t>
        </is>
      </c>
      <c r="D5" s="3" t="n">
        <v>108</v>
      </c>
      <c r="E5" s="3" t="n">
        <v>102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  <c r="K5" s="5">
        <f>IFERROR((F5+G5+H5+I5)/IF(E5&gt;0,E5,D5),0)</f>
        <v/>
      </c>
      <c r="L5" s="6">
        <f>IFERROR(D5/E5,0)</f>
        <v/>
      </c>
    </row>
    <row r="6">
      <c r="A6" s="2" t="inlineStr">
        <is>
          <t>2026-10-21 08:03</t>
        </is>
      </c>
      <c r="B6" s="2" t="inlineStr">
        <is>
          <t>Les syndicats de salariés auraient-ils dû êtr</t>
        </is>
      </c>
      <c r="C6" s="4" t="inlineStr">
        <is>
          <t>ouvrir</t>
        </is>
      </c>
      <c r="D6" s="3" t="n">
        <v>105</v>
      </c>
      <c r="E6" s="3" t="n">
        <v>87</v>
      </c>
      <c r="F6" s="3" t="n">
        <v>1</v>
      </c>
      <c r="G6" s="3" t="n">
        <v>0</v>
      </c>
      <c r="H6" s="3" t="n">
        <v>0</v>
      </c>
      <c r="I6" s="3" t="n">
        <v>0</v>
      </c>
      <c r="J6" s="3" t="n">
        <v>1</v>
      </c>
      <c r="K6" s="5">
        <f>IFERROR((F6+G6+H6+I6)/IF(E6&gt;0,E6,D6),0)</f>
        <v/>
      </c>
      <c r="L6" s="6">
        <f>IFERROR(D6/E6,0)</f>
        <v/>
      </c>
    </row>
    <row r="7">
      <c r="A7" s="2" t="inlineStr">
        <is>
          <t>2026-10-21 12:07</t>
        </is>
      </c>
      <c r="B7" s="2" t="inlineStr">
        <is>
          <t>À toi de juger : taxer les profits du pétrole</t>
        </is>
      </c>
      <c r="C7" s="4" t="inlineStr">
        <is>
          <t>ouvrir</t>
        </is>
      </c>
      <c r="D7" s="3" t="n">
        <v>128</v>
      </c>
      <c r="E7" s="3" t="n">
        <v>106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1</v>
      </c>
      <c r="K7" s="5">
        <f>IFERROR((F7+G7+H7+I7)/IF(E7&gt;0,E7,D7),0)</f>
        <v/>
      </c>
      <c r="L7" s="6">
        <f>IFERROR(D7/E7,0)</f>
        <v/>
      </c>
    </row>
    <row r="8">
      <c r="A8" s="2" t="inlineStr">
        <is>
          <t>2026-10-21 16:08</t>
        </is>
      </c>
      <c r="B8" s="2" t="inlineStr">
        <is>
          <t>Gel des pensions : oui ou non ? Réponds en co</t>
        </is>
      </c>
      <c r="C8" s="4" t="inlineStr">
        <is>
          <t>ouvrir</t>
        </is>
      </c>
      <c r="D8" s="3" t="n">
        <v>114</v>
      </c>
      <c r="E8" s="3" t="n">
        <v>108</v>
      </c>
      <c r="F8" s="3" t="n">
        <v>0</v>
      </c>
      <c r="G8" s="3" t="n">
        <v>0</v>
      </c>
      <c r="H8" s="3" t="n">
        <v>0</v>
      </c>
      <c r="I8" s="3" t="n">
        <v>0</v>
      </c>
      <c r="J8" s="3" t="n">
        <v>0</v>
      </c>
      <c r="K8" s="5">
        <f>IFERROR((F8+G8+H8+I8)/IF(E8&gt;0,E8,D8),0)</f>
        <v/>
      </c>
      <c r="L8" s="6">
        <f>IFERROR(D8/E8,0)</f>
        <v/>
      </c>
    </row>
    <row r="9">
      <c r="A9" s="2" t="inlineStr">
        <is>
          <t>2026-10-22 12:09</t>
        </is>
      </c>
      <c r="B9" s="2" t="inlineStr">
        <is>
          <t>Couper les réseaux sociaux pendant les émeute</t>
        </is>
      </c>
      <c r="C9" s="4" t="inlineStr">
        <is>
          <t>ouvrir</t>
        </is>
      </c>
      <c r="D9" s="3" t="n">
        <v>76</v>
      </c>
      <c r="E9" s="3" t="n">
        <v>70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0</v>
      </c>
      <c r="K9" s="5">
        <f>IFERROR((F9+G9+H9+I9)/IF(E9&gt;0,E9,D9),0)</f>
        <v/>
      </c>
      <c r="L9" s="6">
        <f>IFERROR(D9/E9,0)</f>
        <v/>
      </c>
    </row>
    <row r="10">
      <c r="A10" s="2" t="inlineStr">
        <is>
          <t>2026-10-24 12:30</t>
        </is>
      </c>
      <c r="B10" s="2" t="inlineStr">
        <is>
          <t>À toi de juger : il faut une enquête indépend</t>
        </is>
      </c>
      <c r="C10" s="4" t="inlineStr">
        <is>
          <t>ouvrir</t>
        </is>
      </c>
      <c r="D10" s="3" t="n">
        <v>133</v>
      </c>
      <c r="E10" s="3" t="n">
        <v>117</v>
      </c>
      <c r="F10" s="3" t="n">
        <v>1</v>
      </c>
      <c r="G10" s="3" t="n">
        <v>0</v>
      </c>
      <c r="H10" s="3" t="n">
        <v>0</v>
      </c>
      <c r="I10" s="3" t="n">
        <v>0</v>
      </c>
      <c r="J10" s="3" t="n">
        <v>2</v>
      </c>
      <c r="K10" s="5">
        <f>IFERROR((F10+G10+H10+I10)/IF(E10&gt;0,E10,D10),0)</f>
        <v/>
      </c>
      <c r="L10" s="6">
        <f>IFERROR(D10/E10,0)</f>
        <v/>
      </c>
    </row>
    <row r="11">
      <c r="A11" s="2" t="inlineStr">
        <is>
          <t>2026-10-24 13:56</t>
        </is>
      </c>
      <c r="B11" s="2" t="inlineStr">
        <is>
          <t>« Oui, nous avons perdu le contrôle. » Le min</t>
        </is>
      </c>
      <c r="C11" s="4" t="inlineStr">
        <is>
          <t>ouvrir</t>
        </is>
      </c>
      <c r="D11" s="3" t="n">
        <v>244</v>
      </c>
      <c r="E11" s="3" t="n">
        <v>225</v>
      </c>
      <c r="F11" s="3" t="n">
        <v>4</v>
      </c>
      <c r="G11" s="3" t="n">
        <v>0</v>
      </c>
      <c r="H11" s="3" t="n">
        <v>0</v>
      </c>
      <c r="I11" s="3" t="n">
        <v>1</v>
      </c>
      <c r="J11" s="3" t="n">
        <v>5</v>
      </c>
      <c r="K11" s="5">
        <f>IFERROR((F11+G11+H11+I11)/IF(E11&gt;0,E11,D11),0)</f>
        <v/>
      </c>
      <c r="L11" s="6">
        <f>IFERROR(D11/E11,0)</f>
        <v/>
      </c>
    </row>
    <row r="12">
      <c r="A12" s="2" t="inlineStr">
        <is>
          <t>2026-10-24 18:14</t>
        </is>
      </c>
      <c r="B12" s="2" t="inlineStr">
        <is>
          <t xml:space="preserve">Cinq infos de la semaine, une même logique : </t>
        </is>
      </c>
      <c r="C12" s="4" t="inlineStr">
        <is>
          <t>ouvrir</t>
        </is>
      </c>
      <c r="D12" s="3" t="n">
        <v>134</v>
      </c>
      <c r="E12" s="3" t="n">
        <v>115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  <c r="K12" s="5">
        <f>IFERROR((F12+G12+H12+I12)/IF(E12&gt;0,E12,D12),0)</f>
        <v/>
      </c>
      <c r="L12" s="6">
        <f>IFERROR(D12/E12,0)</f>
        <v/>
      </c>
    </row>
    <row r="13">
      <c r="A13" s="2" t="inlineStr">
        <is>
          <t>2026-10-25 13:58</t>
        </is>
      </c>
      <c r="B13" s="2" t="inlineStr">
        <is>
          <t xml:space="preserve">Des millions publics promis. 244 salariés de </t>
        </is>
      </c>
      <c r="C13" s="4" t="inlineStr">
        <is>
          <t>ouvrir</t>
        </is>
      </c>
      <c r="D13" s="3" t="n">
        <v>114</v>
      </c>
      <c r="E13" s="3" t="n">
        <v>102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0</v>
      </c>
      <c r="K13" s="5">
        <f>IFERROR((F13+G13+H13+I13)/IF(E13&gt;0,E13,D13),0)</f>
        <v/>
      </c>
      <c r="L13" s="6">
        <f>IFERROR(D13/E13,0)</f>
        <v/>
      </c>
    </row>
    <row r="14">
      <c r="A14" s="2" t="inlineStr">
        <is>
          <t>2026-10-25 13:59</t>
        </is>
      </c>
      <c r="B14" s="2" t="inlineStr">
        <is>
          <t>Vendredi, Macron au concert de Céline Dion. S</t>
        </is>
      </c>
      <c r="C14" s="4" t="inlineStr">
        <is>
          <t>ouvrir</t>
        </is>
      </c>
      <c r="D14" s="3" t="n">
        <v>130</v>
      </c>
      <c r="E14" s="3" t="n">
        <v>110</v>
      </c>
      <c r="F14" s="3" t="n">
        <v>1</v>
      </c>
      <c r="G14" s="3" t="n">
        <v>0</v>
      </c>
      <c r="H14" s="3" t="n">
        <v>0</v>
      </c>
      <c r="I14" s="3" t="n">
        <v>0</v>
      </c>
      <c r="J14" s="3" t="n">
        <v>1</v>
      </c>
      <c r="K14" s="5">
        <f>IFERROR((F14+G14+H14+I14)/IF(E14&gt;0,E14,D14),0)</f>
        <v/>
      </c>
      <c r="L14" s="6">
        <f>IFERROR(D14/E14,0)</f>
        <v/>
      </c>
    </row>
    <row r="15">
      <c r="A15" s="2" t="inlineStr">
        <is>
          <t>2026-10-25 17:26</t>
        </is>
      </c>
      <c r="B15" s="2" t="inlineStr">
        <is>
          <t>2 513 gardes à vue et 67 incarcérations après</t>
        </is>
      </c>
      <c r="C15" s="4" t="inlineStr">
        <is>
          <t>ouvrir</t>
        </is>
      </c>
      <c r="D15" s="3" t="n">
        <v>118</v>
      </c>
      <c r="E15" s="3" t="n">
        <v>106</v>
      </c>
      <c r="F15" s="3" t="n">
        <v>0</v>
      </c>
      <c r="G15" s="3" t="n">
        <v>0</v>
      </c>
      <c r="H15" s="3" t="n">
        <v>0</v>
      </c>
      <c r="I15" s="3" t="n">
        <v>0</v>
      </c>
      <c r="J15" s="3" t="n">
        <v>0</v>
      </c>
      <c r="K15" s="5">
        <f>IFERROR((F15+G15+H15+I15)/IF(E15&gt;0,E15,D15),0)</f>
        <v/>
      </c>
      <c r="L15" s="6">
        <f>IFERROR(D15/E15,0)</f>
        <v/>
      </c>
    </row>
    <row r="16">
      <c r="A16" s="2" t="inlineStr">
        <is>
          <t>2026-10-27 07:08</t>
        </is>
      </c>
      <c r="B16" s="2" t="inlineStr">
        <is>
          <t xml:space="preserve">54 milliards d'efforts demandés aux Français </t>
        </is>
      </c>
      <c r="C16" s="4" t="inlineStr">
        <is>
          <t>ouvrir</t>
        </is>
      </c>
      <c r="D16" s="3" t="n">
        <v>107</v>
      </c>
      <c r="E16" s="3" t="n">
        <v>99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  <c r="K16" s="5">
        <f>IFERROR((F16+G16+H16+I16)/IF(E16&gt;0,E16,D16),0)</f>
        <v/>
      </c>
      <c r="L16" s="6">
        <f>IFERROR(D16/E16,0)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</hyperlinks>
  <pageMargins left="0.75" right="0.75" top="1" bottom="1" header="0.5" footer="0.5"/>
  <drawing xmlns:r="http://schemas.openxmlformats.org/officeDocument/2006/relationships" r:id="rId16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 ht="32" customHeight="1">
      <c r="A1" s="1" t="inlineStr">
        <is>
          <t>Jour</t>
        </is>
      </c>
      <c r="B1" s="1" t="inlineStr">
        <is>
          <t>📩 « Jeudi 5 novembre, la Fra</t>
        </is>
      </c>
      <c r="C1" s="1" t="inlineStr">
        <is>
          <t>📖 Il était une fois des agri</t>
        </is>
      </c>
      <c r="D1" s="1" t="inlineStr">
        <is>
          <t>Couvre-feux, manifs « encadr</t>
        </is>
      </c>
      <c r="E1" s="1" t="inlineStr">
        <is>
          <t>Couvre-feu pour les ados, 5,</t>
        </is>
      </c>
      <c r="F1" s="1" t="inlineStr">
        <is>
          <t>Les syndicats de salariés au</t>
        </is>
      </c>
      <c r="G1" s="1" t="inlineStr">
        <is>
          <t>À toi de juger : taxer les p</t>
        </is>
      </c>
      <c r="H1" s="1" t="inlineStr">
        <is>
          <t>Gel des pensions : oui ou no</t>
        </is>
      </c>
      <c r="I1" s="1" t="inlineStr">
        <is>
          <t>Couper les réseaux sociaux p</t>
        </is>
      </c>
      <c r="J1" s="1" t="inlineStr">
        <is>
          <t>À toi de juger : il faut une</t>
        </is>
      </c>
      <c r="K1" s="1" t="inlineStr">
        <is>
          <t>« Oui, nous avons perdu le c</t>
        </is>
      </c>
      <c r="L1" s="1" t="inlineStr">
        <is>
          <t>Cinq infos de la semaine, un</t>
        </is>
      </c>
      <c r="M1" s="1" t="inlineStr">
        <is>
          <t>Des millions publics promis.</t>
        </is>
      </c>
      <c r="N1" s="1" t="inlineStr">
        <is>
          <t xml:space="preserve">Vendredi, Macron au concert </t>
        </is>
      </c>
      <c r="O1" s="1" t="inlineStr">
        <is>
          <t>2 513 gardes à vue et 67 inc</t>
        </is>
      </c>
      <c r="P1" s="1" t="inlineStr">
        <is>
          <t>54 milliards d'efforts deman</t>
        </is>
      </c>
    </row>
    <row r="2">
      <c r="A2" s="2" t="inlineStr">
        <is>
          <t>2026-10-18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</row>
    <row r="3">
      <c r="A3" s="2" t="inlineStr">
        <is>
          <t>2026-10-19</t>
        </is>
      </c>
      <c r="B3" s="3" t="n">
        <v>7</v>
      </c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inlineStr">
        <is>
          <t>2026-10-20</t>
        </is>
      </c>
      <c r="B4" s="3" t="n">
        <v>111</v>
      </c>
      <c r="C4" s="3" t="n">
        <v>73</v>
      </c>
      <c r="D4" s="3" t="n">
        <v>63</v>
      </c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inlineStr">
        <is>
          <t>2026-10-21</t>
        </is>
      </c>
      <c r="B5" s="3" t="n">
        <v>111</v>
      </c>
      <c r="C5" s="3" t="n">
        <v>79</v>
      </c>
      <c r="D5" s="3" t="n">
        <v>157</v>
      </c>
      <c r="E5" s="3" t="n">
        <v>105</v>
      </c>
      <c r="F5" s="3" t="n">
        <v>80</v>
      </c>
      <c r="G5" s="3" t="n">
        <v>69</v>
      </c>
      <c r="H5" s="3" t="n"/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inlineStr">
        <is>
          <t>2026-10-22</t>
        </is>
      </c>
      <c r="B6" s="3" t="n">
        <v>111</v>
      </c>
      <c r="C6" s="3" t="n">
        <v>79</v>
      </c>
      <c r="D6" s="3" t="n">
        <v>158</v>
      </c>
      <c r="E6" s="3" t="n">
        <v>106</v>
      </c>
      <c r="F6" s="3" t="n">
        <v>105</v>
      </c>
      <c r="G6" s="3" t="n">
        <v>128</v>
      </c>
      <c r="H6" s="3" t="n">
        <v>113</v>
      </c>
      <c r="I6" s="3" t="n">
        <v>32</v>
      </c>
      <c r="J6" s="3" t="n"/>
      <c r="K6" s="3" t="n"/>
      <c r="L6" s="3" t="n"/>
      <c r="M6" s="3" t="n"/>
      <c r="N6" s="3" t="n"/>
      <c r="O6" s="3" t="n"/>
      <c r="P6" s="3" t="n"/>
    </row>
    <row r="7">
      <c r="A7" s="2" t="inlineStr">
        <is>
          <t>2026-10-23</t>
        </is>
      </c>
      <c r="B7" s="3" t="n">
        <v>111</v>
      </c>
      <c r="C7" s="3" t="n">
        <v>79</v>
      </c>
      <c r="D7" s="3" t="n">
        <v>158</v>
      </c>
      <c r="E7" s="3" t="n">
        <v>106</v>
      </c>
      <c r="F7" s="3" t="n">
        <v>105</v>
      </c>
      <c r="G7" s="3" t="n">
        <v>128</v>
      </c>
      <c r="H7" s="3" t="n">
        <v>113</v>
      </c>
      <c r="I7" s="3" t="n">
        <v>74</v>
      </c>
      <c r="J7" s="3" t="n"/>
      <c r="K7" s="3" t="n"/>
      <c r="L7" s="3" t="n"/>
      <c r="M7" s="3" t="n"/>
      <c r="N7" s="3" t="n"/>
      <c r="O7" s="3" t="n"/>
      <c r="P7" s="3" t="n"/>
    </row>
    <row r="8">
      <c r="A8" s="2" t="inlineStr">
        <is>
          <t>2026-10-24</t>
        </is>
      </c>
      <c r="B8" s="3" t="n">
        <v>111</v>
      </c>
      <c r="C8" s="3" t="n">
        <v>79</v>
      </c>
      <c r="D8" s="3" t="n">
        <v>158</v>
      </c>
      <c r="E8" s="3" t="n">
        <v>108</v>
      </c>
      <c r="F8" s="3" t="n">
        <v>105</v>
      </c>
      <c r="G8" s="3" t="n">
        <v>128</v>
      </c>
      <c r="H8" s="3" t="n">
        <v>114</v>
      </c>
      <c r="I8" s="3" t="n">
        <v>76</v>
      </c>
      <c r="J8" s="3" t="n">
        <v>119</v>
      </c>
      <c r="K8" s="3" t="n">
        <v>6</v>
      </c>
      <c r="L8" s="3" t="n"/>
      <c r="M8" s="3" t="n"/>
      <c r="N8" s="3" t="n"/>
      <c r="O8" s="3" t="n"/>
      <c r="P8" s="3" t="n"/>
    </row>
    <row r="9">
      <c r="A9" s="2" t="inlineStr">
        <is>
          <t>2026-10-25</t>
        </is>
      </c>
      <c r="B9" s="3" t="n">
        <v>111</v>
      </c>
      <c r="C9" s="3" t="n">
        <v>79</v>
      </c>
      <c r="D9" s="3" t="n">
        <v>158</v>
      </c>
      <c r="E9" s="3" t="n">
        <v>108</v>
      </c>
      <c r="F9" s="3" t="n">
        <v>105</v>
      </c>
      <c r="G9" s="3" t="n">
        <v>128</v>
      </c>
      <c r="H9" s="3" t="n">
        <v>114</v>
      </c>
      <c r="I9" s="3" t="n">
        <v>76</v>
      </c>
      <c r="J9" s="3" t="n">
        <v>133</v>
      </c>
      <c r="K9" s="3" t="n">
        <v>241</v>
      </c>
      <c r="L9" s="3" t="n">
        <v>134</v>
      </c>
      <c r="M9" s="3" t="n">
        <v>10</v>
      </c>
      <c r="N9" s="3" t="n">
        <v>13</v>
      </c>
      <c r="O9" s="3" t="n"/>
      <c r="P9" s="3" t="n"/>
    </row>
    <row r="10">
      <c r="A10" s="2" t="inlineStr">
        <is>
          <t>2026-10-26</t>
        </is>
      </c>
      <c r="B10" s="3" t="n">
        <v>111</v>
      </c>
      <c r="C10" s="3" t="n">
        <v>79</v>
      </c>
      <c r="D10" s="3" t="n">
        <v>158</v>
      </c>
      <c r="E10" s="3" t="n">
        <v>108</v>
      </c>
      <c r="F10" s="3" t="n">
        <v>105</v>
      </c>
      <c r="G10" s="3" t="n">
        <v>128</v>
      </c>
      <c r="H10" s="3" t="n">
        <v>114</v>
      </c>
      <c r="I10" s="3" t="n">
        <v>76</v>
      </c>
      <c r="J10" s="3" t="n">
        <v>133</v>
      </c>
      <c r="K10" s="3" t="n">
        <v>244</v>
      </c>
      <c r="L10" s="3" t="n">
        <v>134</v>
      </c>
      <c r="M10" s="3" t="n">
        <v>114</v>
      </c>
      <c r="N10" s="3" t="n">
        <v>130</v>
      </c>
      <c r="O10" s="3" t="n">
        <v>117</v>
      </c>
      <c r="P10" s="3" t="n"/>
    </row>
    <row r="11">
      <c r="A11" s="2" t="inlineStr">
        <is>
          <t>2026-10-27</t>
        </is>
      </c>
      <c r="B11" s="3" t="n">
        <v>111</v>
      </c>
      <c r="C11" s="3" t="n">
        <v>79</v>
      </c>
      <c r="D11" s="3" t="n">
        <v>158</v>
      </c>
      <c r="E11" s="3" t="n">
        <v>108</v>
      </c>
      <c r="F11" s="3" t="n">
        <v>105</v>
      </c>
      <c r="G11" s="3" t="n">
        <v>128</v>
      </c>
      <c r="H11" s="3" t="n">
        <v>114</v>
      </c>
      <c r="I11" s="3" t="n">
        <v>76</v>
      </c>
      <c r="J11" s="3" t="n">
        <v>133</v>
      </c>
      <c r="K11" s="3" t="n">
        <v>244</v>
      </c>
      <c r="L11" s="3" t="n">
        <v>134</v>
      </c>
      <c r="M11" s="3" t="n">
        <v>114</v>
      </c>
      <c r="N11" s="3" t="n">
        <v>130</v>
      </c>
      <c r="O11" s="3" t="n">
        <v>118</v>
      </c>
      <c r="P11" s="3" t="n">
        <v>92</v>
      </c>
    </row>
    <row r="12">
      <c r="A12" s="2" t="inlineStr">
        <is>
          <t>2026-10-28</t>
        </is>
      </c>
      <c r="B12" s="3" t="n">
        <v>111</v>
      </c>
      <c r="C12" s="3" t="n">
        <v>79</v>
      </c>
      <c r="D12" s="3" t="n">
        <v>158</v>
      </c>
      <c r="E12" s="3" t="n">
        <v>108</v>
      </c>
      <c r="F12" s="3" t="n">
        <v>105</v>
      </c>
      <c r="G12" s="3" t="n">
        <v>128</v>
      </c>
      <c r="H12" s="3" t="n">
        <v>114</v>
      </c>
      <c r="I12" s="3" t="n">
        <v>76</v>
      </c>
      <c r="J12" s="3" t="n">
        <v>133</v>
      </c>
      <c r="K12" s="3" t="n">
        <v>244</v>
      </c>
      <c r="L12" s="3" t="n">
        <v>134</v>
      </c>
      <c r="M12" s="3" t="n">
        <v>114</v>
      </c>
      <c r="N12" s="3" t="n">
        <v>130</v>
      </c>
      <c r="O12" s="3" t="n">
        <v>118</v>
      </c>
      <c r="P12" s="3" t="n">
        <v>107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2" customWidth="1" min="17" max="17"/>
  </cols>
  <sheetData>
    <row r="1" ht="32" customHeight="1">
      <c r="A1" s="1" t="inlineStr">
        <is>
          <t>Jour</t>
        </is>
      </c>
      <c r="B1" s="1" t="inlineStr">
        <is>
          <t>📩 « Jeudi 5 novembre, la Fra</t>
        </is>
      </c>
      <c r="C1" s="1" t="inlineStr">
        <is>
          <t>📖 Il était une fois des agri</t>
        </is>
      </c>
      <c r="D1" s="1" t="inlineStr">
        <is>
          <t>Couvre-feux, manifs « encadr</t>
        </is>
      </c>
      <c r="E1" s="1" t="inlineStr">
        <is>
          <t>Couvre-feu pour les ados, 5,</t>
        </is>
      </c>
      <c r="F1" s="1" t="inlineStr">
        <is>
          <t>Les syndicats de salariés au</t>
        </is>
      </c>
      <c r="G1" s="1" t="inlineStr">
        <is>
          <t>À toi de juger : taxer les p</t>
        </is>
      </c>
      <c r="H1" s="1" t="inlineStr">
        <is>
          <t>Gel des pensions : oui ou no</t>
        </is>
      </c>
      <c r="I1" s="1" t="inlineStr">
        <is>
          <t>Couper les réseaux sociaux p</t>
        </is>
      </c>
      <c r="J1" s="1" t="inlineStr">
        <is>
          <t>À toi de juger : il faut une</t>
        </is>
      </c>
      <c r="K1" s="1" t="inlineStr">
        <is>
          <t>« Oui, nous avons perdu le c</t>
        </is>
      </c>
      <c r="L1" s="1" t="inlineStr">
        <is>
          <t>Cinq infos de la semaine, un</t>
        </is>
      </c>
      <c r="M1" s="1" t="inlineStr">
        <is>
          <t>Des millions publics promis.</t>
        </is>
      </c>
      <c r="N1" s="1" t="inlineStr">
        <is>
          <t xml:space="preserve">Vendredi, Macron au concert </t>
        </is>
      </c>
      <c r="O1" s="1" t="inlineStr">
        <is>
          <t>2 513 gardes à vue et 67 inc</t>
        </is>
      </c>
      <c r="P1" s="1" t="inlineStr">
        <is>
          <t>54 milliards d'efforts deman</t>
        </is>
      </c>
      <c r="Q1" s="1" t="inlineStr">
        <is>
          <t>Total du jour</t>
        </is>
      </c>
    </row>
    <row r="2">
      <c r="A2" s="2" t="inlineStr">
        <is>
          <t>2026-10-18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IF('Évolution par vidéo'!E2="","",'Évolution par vidéo'!E2)</f>
        <v/>
      </c>
      <c r="F2" s="3">
        <f>IF('Évolution par vidéo'!F2="","",'Évolution par vidéo'!F2)</f>
        <v/>
      </c>
      <c r="G2" s="3">
        <f>IF('Évolution par vidéo'!G2="","",'Évolution par vidéo'!G2)</f>
        <v/>
      </c>
      <c r="H2" s="3">
        <f>IF('Évolution par vidéo'!H2="","",'Évolution par vidéo'!H2)</f>
        <v/>
      </c>
      <c r="I2" s="3">
        <f>IF('Évolution par vidéo'!I2="","",'Évolution par vidéo'!I2)</f>
        <v/>
      </c>
      <c r="J2" s="3">
        <f>IF('Évolution par vidéo'!J2="","",'Évolution par vidéo'!J2)</f>
        <v/>
      </c>
      <c r="K2" s="3">
        <f>IF('Évolution par vidéo'!K2="","",'Évolution par vidéo'!K2)</f>
        <v/>
      </c>
      <c r="L2" s="3">
        <f>IF('Évolution par vidéo'!L2="","",'Évolution par vidéo'!L2)</f>
        <v/>
      </c>
      <c r="M2" s="3">
        <f>IF('Évolution par vidéo'!M2="","",'Évolution par vidéo'!M2)</f>
        <v/>
      </c>
      <c r="N2" s="3">
        <f>IF('Évolution par vidéo'!N2="","",'Évolution par vidéo'!N2)</f>
        <v/>
      </c>
      <c r="O2" s="3">
        <f>IF('Évolution par vidéo'!O2="","",'Évolution par vidéo'!O2)</f>
        <v/>
      </c>
      <c r="P2" s="3">
        <f>IF('Évolution par vidéo'!P2="","",'Évolution par vidéo'!P2)</f>
        <v/>
      </c>
      <c r="Q2" s="3">
        <f>SUM(B2:P2)</f>
        <v/>
      </c>
    </row>
    <row r="3">
      <c r="A3" s="2" t="inlineStr">
        <is>
          <t>2026-10-19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IF('Évolution par vidéo'!E3="","",'Évolution par vidéo'!E3-N('Évolution par vidéo'!E2))</f>
        <v/>
      </c>
      <c r="F3" s="3">
        <f>IF('Évolution par vidéo'!F3="","",'Évolution par vidéo'!F3-N('Évolution par vidéo'!F2))</f>
        <v/>
      </c>
      <c r="G3" s="3">
        <f>IF('Évolution par vidéo'!G3="","",'Évolution par vidéo'!G3-N('Évolution par vidéo'!G2))</f>
        <v/>
      </c>
      <c r="H3" s="3">
        <f>IF('Évolution par vidéo'!H3="","",'Évolution par vidéo'!H3-N('Évolution par vidéo'!H2))</f>
        <v/>
      </c>
      <c r="I3" s="3">
        <f>IF('Évolution par vidéo'!I3="","",'Évolution par vidéo'!I3-N('Évolution par vidéo'!I2))</f>
        <v/>
      </c>
      <c r="J3" s="3">
        <f>IF('Évolution par vidéo'!J3="","",'Évolution par vidéo'!J3-N('Évolution par vidéo'!J2))</f>
        <v/>
      </c>
      <c r="K3" s="3">
        <f>IF('Évolution par vidéo'!K3="","",'Évolution par vidéo'!K3-N('Évolution par vidéo'!K2))</f>
        <v/>
      </c>
      <c r="L3" s="3">
        <f>IF('Évolution par vidéo'!L3="","",'Évolution par vidéo'!L3-N('Évolution par vidéo'!L2))</f>
        <v/>
      </c>
      <c r="M3" s="3">
        <f>IF('Évolution par vidéo'!M3="","",'Évolution par vidéo'!M3-N('Évolution par vidéo'!M2))</f>
        <v/>
      </c>
      <c r="N3" s="3">
        <f>IF('Évolution par vidéo'!N3="","",'Évolution par vidéo'!N3-N('Évolution par vidéo'!N2))</f>
        <v/>
      </c>
      <c r="O3" s="3">
        <f>IF('Évolution par vidéo'!O3="","",'Évolution par vidéo'!O3-N('Évolution par vidéo'!O2))</f>
        <v/>
      </c>
      <c r="P3" s="3">
        <f>IF('Évolution par vidéo'!P3="","",'Évolution par vidéo'!P3-N('Évolution par vidéo'!P2))</f>
        <v/>
      </c>
      <c r="Q3" s="3">
        <f>SUM(B3:P3)</f>
        <v/>
      </c>
    </row>
    <row r="4">
      <c r="A4" s="2" t="inlineStr">
        <is>
          <t>2026-10-20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IF('Évolution par vidéo'!E4="","",'Évolution par vidéo'!E4-N('Évolution par vidéo'!E3))</f>
        <v/>
      </c>
      <c r="F4" s="3">
        <f>IF('Évolution par vidéo'!F4="","",'Évolution par vidéo'!F4-N('Évolution par vidéo'!F3))</f>
        <v/>
      </c>
      <c r="G4" s="3">
        <f>IF('Évolution par vidéo'!G4="","",'Évolution par vidéo'!G4-N('Évolution par vidéo'!G3))</f>
        <v/>
      </c>
      <c r="H4" s="3">
        <f>IF('Évolution par vidéo'!H4="","",'Évolution par vidéo'!H4-N('Évolution par vidéo'!H3))</f>
        <v/>
      </c>
      <c r="I4" s="3">
        <f>IF('Évolution par vidéo'!I4="","",'Évolution par vidéo'!I4-N('Évolution par vidéo'!I3))</f>
        <v/>
      </c>
      <c r="J4" s="3">
        <f>IF('Évolution par vidéo'!J4="","",'Évolution par vidéo'!J4-N('Évolution par vidéo'!J3))</f>
        <v/>
      </c>
      <c r="K4" s="3">
        <f>IF('Évolution par vidéo'!K4="","",'Évolution par vidéo'!K4-N('Évolution par vidéo'!K3))</f>
        <v/>
      </c>
      <c r="L4" s="3">
        <f>IF('Évolution par vidéo'!L4="","",'Évolution par vidéo'!L4-N('Évolution par vidéo'!L3))</f>
        <v/>
      </c>
      <c r="M4" s="3">
        <f>IF('Évolution par vidéo'!M4="","",'Évolution par vidéo'!M4-N('Évolution par vidéo'!M3))</f>
        <v/>
      </c>
      <c r="N4" s="3">
        <f>IF('Évolution par vidéo'!N4="","",'Évolution par vidéo'!N4-N('Évolution par vidéo'!N3))</f>
        <v/>
      </c>
      <c r="O4" s="3">
        <f>IF('Évolution par vidéo'!O4="","",'Évolution par vidéo'!O4-N('Évolution par vidéo'!O3))</f>
        <v/>
      </c>
      <c r="P4" s="3">
        <f>IF('Évolution par vidéo'!P4="","",'Évolution par vidéo'!P4-N('Évolution par vidéo'!P3))</f>
        <v/>
      </c>
      <c r="Q4" s="3">
        <f>SUM(B4:P4)</f>
        <v/>
      </c>
    </row>
    <row r="5">
      <c r="A5" s="2" t="inlineStr">
        <is>
          <t>2026-10-21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IF('Évolution par vidéo'!E5="","",'Évolution par vidéo'!E5-N('Évolution par vidéo'!E4))</f>
        <v/>
      </c>
      <c r="F5" s="3">
        <f>IF('Évolution par vidéo'!F5="","",'Évolution par vidéo'!F5-N('Évolution par vidéo'!F4))</f>
        <v/>
      </c>
      <c r="G5" s="3">
        <f>IF('Évolution par vidéo'!G5="","",'Évolution par vidéo'!G5-N('Évolution par vidéo'!G4))</f>
        <v/>
      </c>
      <c r="H5" s="3">
        <f>IF('Évolution par vidéo'!H5="","",'Évolution par vidéo'!H5-N('Évolution par vidéo'!H4))</f>
        <v/>
      </c>
      <c r="I5" s="3">
        <f>IF('Évolution par vidéo'!I5="","",'Évolution par vidéo'!I5-N('Évolution par vidéo'!I4))</f>
        <v/>
      </c>
      <c r="J5" s="3">
        <f>IF('Évolution par vidéo'!J5="","",'Évolution par vidéo'!J5-N('Évolution par vidéo'!J4))</f>
        <v/>
      </c>
      <c r="K5" s="3">
        <f>IF('Évolution par vidéo'!K5="","",'Évolution par vidéo'!K5-N('Évolution par vidéo'!K4))</f>
        <v/>
      </c>
      <c r="L5" s="3">
        <f>IF('Évolution par vidéo'!L5="","",'Évolution par vidéo'!L5-N('Évolution par vidéo'!L4))</f>
        <v/>
      </c>
      <c r="M5" s="3">
        <f>IF('Évolution par vidéo'!M5="","",'Évolution par vidéo'!M5-N('Évolution par vidéo'!M4))</f>
        <v/>
      </c>
      <c r="N5" s="3">
        <f>IF('Évolution par vidéo'!N5="","",'Évolution par vidéo'!N5-N('Évolution par vidéo'!N4))</f>
        <v/>
      </c>
      <c r="O5" s="3">
        <f>IF('Évolution par vidéo'!O5="","",'Évolution par vidéo'!O5-N('Évolution par vidéo'!O4))</f>
        <v/>
      </c>
      <c r="P5" s="3">
        <f>IF('Évolution par vidéo'!P5="","",'Évolution par vidéo'!P5-N('Évolution par vidéo'!P4))</f>
        <v/>
      </c>
      <c r="Q5" s="3">
        <f>SUM(B5:P5)</f>
        <v/>
      </c>
    </row>
    <row r="6">
      <c r="A6" s="2" t="inlineStr">
        <is>
          <t>2026-10-22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IF('Évolution par vidéo'!D6="","",'Évolution par vidéo'!D6-N('Évolution par vidéo'!D5))</f>
        <v/>
      </c>
      <c r="E6" s="3">
        <f>IF('Évolution par vidéo'!E6="","",'Évolution par vidéo'!E6-N('Évolution par vidéo'!E5))</f>
        <v/>
      </c>
      <c r="F6" s="3">
        <f>IF('Évolution par vidéo'!F6="","",'Évolution par vidéo'!F6-N('Évolution par vidéo'!F5))</f>
        <v/>
      </c>
      <c r="G6" s="3">
        <f>IF('Évolution par vidéo'!G6="","",'Évolution par vidéo'!G6-N('Évolution par vidéo'!G5))</f>
        <v/>
      </c>
      <c r="H6" s="3">
        <f>IF('Évolution par vidéo'!H6="","",'Évolution par vidéo'!H6-N('Évolution par vidéo'!H5))</f>
        <v/>
      </c>
      <c r="I6" s="3">
        <f>IF('Évolution par vidéo'!I6="","",'Évolution par vidéo'!I6-N('Évolution par vidéo'!I5))</f>
        <v/>
      </c>
      <c r="J6" s="3">
        <f>IF('Évolution par vidéo'!J6="","",'Évolution par vidéo'!J6-N('Évolution par vidéo'!J5))</f>
        <v/>
      </c>
      <c r="K6" s="3">
        <f>IF('Évolution par vidéo'!K6="","",'Évolution par vidéo'!K6-N('Évolution par vidéo'!K5))</f>
        <v/>
      </c>
      <c r="L6" s="3">
        <f>IF('Évolution par vidéo'!L6="","",'Évolution par vidéo'!L6-N('Évolution par vidéo'!L5))</f>
        <v/>
      </c>
      <c r="M6" s="3">
        <f>IF('Évolution par vidéo'!M6="","",'Évolution par vidéo'!M6-N('Évolution par vidéo'!M5))</f>
        <v/>
      </c>
      <c r="N6" s="3">
        <f>IF('Évolution par vidéo'!N6="","",'Évolution par vidéo'!N6-N('Évolution par vidéo'!N5))</f>
        <v/>
      </c>
      <c r="O6" s="3">
        <f>IF('Évolution par vidéo'!O6="","",'Évolution par vidéo'!O6-N('Évolution par vidéo'!O5))</f>
        <v/>
      </c>
      <c r="P6" s="3">
        <f>IF('Évolution par vidéo'!P6="","",'Évolution par vidéo'!P6-N('Évolution par vidéo'!P5))</f>
        <v/>
      </c>
      <c r="Q6" s="3">
        <f>SUM(B6:P6)</f>
        <v/>
      </c>
    </row>
    <row r="7">
      <c r="A7" s="2" t="inlineStr">
        <is>
          <t>2026-10-23</t>
        </is>
      </c>
      <c r="B7" s="3">
        <f>IF('Évolution par vidéo'!B7="","",'Évolution par vidéo'!B7-N('Évolution par vidéo'!B6))</f>
        <v/>
      </c>
      <c r="C7" s="3">
        <f>IF('Évolution par vidéo'!C7="","",'Évolution par vidéo'!C7-N('Évolution par vidéo'!C6))</f>
        <v/>
      </c>
      <c r="D7" s="3">
        <f>IF('Évolution par vidéo'!D7="","",'Évolution par vidéo'!D7-N('Évolution par vidéo'!D6))</f>
        <v/>
      </c>
      <c r="E7" s="3">
        <f>IF('Évolution par vidéo'!E7="","",'Évolution par vidéo'!E7-N('Évolution par vidéo'!E6))</f>
        <v/>
      </c>
      <c r="F7" s="3">
        <f>IF('Évolution par vidéo'!F7="","",'Évolution par vidéo'!F7-N('Évolution par vidéo'!F6))</f>
        <v/>
      </c>
      <c r="G7" s="3">
        <f>IF('Évolution par vidéo'!G7="","",'Évolution par vidéo'!G7-N('Évolution par vidéo'!G6))</f>
        <v/>
      </c>
      <c r="H7" s="3">
        <f>IF('Évolution par vidéo'!H7="","",'Évolution par vidéo'!H7-N('Évolution par vidéo'!H6))</f>
        <v/>
      </c>
      <c r="I7" s="3">
        <f>IF('Évolution par vidéo'!I7="","",'Évolution par vidéo'!I7-N('Évolution par vidéo'!I6))</f>
        <v/>
      </c>
      <c r="J7" s="3">
        <f>IF('Évolution par vidéo'!J7="","",'Évolution par vidéo'!J7-N('Évolution par vidéo'!J6))</f>
        <v/>
      </c>
      <c r="K7" s="3">
        <f>IF('Évolution par vidéo'!K7="","",'Évolution par vidéo'!K7-N('Évolution par vidéo'!K6))</f>
        <v/>
      </c>
      <c r="L7" s="3">
        <f>IF('Évolution par vidéo'!L7="","",'Évolution par vidéo'!L7-N('Évolution par vidéo'!L6))</f>
        <v/>
      </c>
      <c r="M7" s="3">
        <f>IF('Évolution par vidéo'!M7="","",'Évolution par vidéo'!M7-N('Évolution par vidéo'!M6))</f>
        <v/>
      </c>
      <c r="N7" s="3">
        <f>IF('Évolution par vidéo'!N7="","",'Évolution par vidéo'!N7-N('Évolution par vidéo'!N6))</f>
        <v/>
      </c>
      <c r="O7" s="3">
        <f>IF('Évolution par vidéo'!O7="","",'Évolution par vidéo'!O7-N('Évolution par vidéo'!O6))</f>
        <v/>
      </c>
      <c r="P7" s="3">
        <f>IF('Évolution par vidéo'!P7="","",'Évolution par vidéo'!P7-N('Évolution par vidéo'!P6))</f>
        <v/>
      </c>
      <c r="Q7" s="3">
        <f>SUM(B7:P7)</f>
        <v/>
      </c>
    </row>
    <row r="8">
      <c r="A8" s="2" t="inlineStr">
        <is>
          <t>2026-10-24</t>
        </is>
      </c>
      <c r="B8" s="3">
        <f>IF('Évolution par vidéo'!B8="","",'Évolution par vidéo'!B8-N('Évolution par vidéo'!B7))</f>
        <v/>
      </c>
      <c r="C8" s="3">
        <f>IF('Évolution par vidéo'!C8="","",'Évolution par vidéo'!C8-N('Évolution par vidéo'!C7))</f>
        <v/>
      </c>
      <c r="D8" s="3">
        <f>IF('Évolution par vidéo'!D8="","",'Évolution par vidéo'!D8-N('Évolution par vidéo'!D7))</f>
        <v/>
      </c>
      <c r="E8" s="3">
        <f>IF('Évolution par vidéo'!E8="","",'Évolution par vidéo'!E8-N('Évolution par vidéo'!E7))</f>
        <v/>
      </c>
      <c r="F8" s="3">
        <f>IF('Évolution par vidéo'!F8="","",'Évolution par vidéo'!F8-N('Évolution par vidéo'!F7))</f>
        <v/>
      </c>
      <c r="G8" s="3">
        <f>IF('Évolution par vidéo'!G8="","",'Évolution par vidéo'!G8-N('Évolution par vidéo'!G7))</f>
        <v/>
      </c>
      <c r="H8" s="3">
        <f>IF('Évolution par vidéo'!H8="","",'Évolution par vidéo'!H8-N('Évolution par vidéo'!H7))</f>
        <v/>
      </c>
      <c r="I8" s="3">
        <f>IF('Évolution par vidéo'!I8="","",'Évolution par vidéo'!I8-N('Évolution par vidéo'!I7))</f>
        <v/>
      </c>
      <c r="J8" s="3">
        <f>IF('Évolution par vidéo'!J8="","",'Évolution par vidéo'!J8-N('Évolution par vidéo'!J7))</f>
        <v/>
      </c>
      <c r="K8" s="3">
        <f>IF('Évolution par vidéo'!K8="","",'Évolution par vidéo'!K8-N('Évolution par vidéo'!K7))</f>
        <v/>
      </c>
      <c r="L8" s="3">
        <f>IF('Évolution par vidéo'!L8="","",'Évolution par vidéo'!L8-N('Évolution par vidéo'!L7))</f>
        <v/>
      </c>
      <c r="M8" s="3">
        <f>IF('Évolution par vidéo'!M8="","",'Évolution par vidéo'!M8-N('Évolution par vidéo'!M7))</f>
        <v/>
      </c>
      <c r="N8" s="3">
        <f>IF('Évolution par vidéo'!N8="","",'Évolution par vidéo'!N8-N('Évolution par vidéo'!N7))</f>
        <v/>
      </c>
      <c r="O8" s="3">
        <f>IF('Évolution par vidéo'!O8="","",'Évolution par vidéo'!O8-N('Évolution par vidéo'!O7))</f>
        <v/>
      </c>
      <c r="P8" s="3">
        <f>IF('Évolution par vidéo'!P8="","",'Évolution par vidéo'!P8-N('Évolution par vidéo'!P7))</f>
        <v/>
      </c>
      <c r="Q8" s="3">
        <f>SUM(B8:P8)</f>
        <v/>
      </c>
    </row>
    <row r="9">
      <c r="A9" s="2" t="inlineStr">
        <is>
          <t>2026-10-25</t>
        </is>
      </c>
      <c r="B9" s="3">
        <f>IF('Évolution par vidéo'!B9="","",'Évolution par vidéo'!B9-N('Évolution par vidéo'!B8))</f>
        <v/>
      </c>
      <c r="C9" s="3">
        <f>IF('Évolution par vidéo'!C9="","",'Évolution par vidéo'!C9-N('Évolution par vidéo'!C8))</f>
        <v/>
      </c>
      <c r="D9" s="3">
        <f>IF('Évolution par vidéo'!D9="","",'Évolution par vidéo'!D9-N('Évolution par vidéo'!D8))</f>
        <v/>
      </c>
      <c r="E9" s="3">
        <f>IF('Évolution par vidéo'!E9="","",'Évolution par vidéo'!E9-N('Évolution par vidéo'!E8))</f>
        <v/>
      </c>
      <c r="F9" s="3">
        <f>IF('Évolution par vidéo'!F9="","",'Évolution par vidéo'!F9-N('Évolution par vidéo'!F8))</f>
        <v/>
      </c>
      <c r="G9" s="3">
        <f>IF('Évolution par vidéo'!G9="","",'Évolution par vidéo'!G9-N('Évolution par vidéo'!G8))</f>
        <v/>
      </c>
      <c r="H9" s="3">
        <f>IF('Évolution par vidéo'!H9="","",'Évolution par vidéo'!H9-N('Évolution par vidéo'!H8))</f>
        <v/>
      </c>
      <c r="I9" s="3">
        <f>IF('Évolution par vidéo'!I9="","",'Évolution par vidéo'!I9-N('Évolution par vidéo'!I8))</f>
        <v/>
      </c>
      <c r="J9" s="3">
        <f>IF('Évolution par vidéo'!J9="","",'Évolution par vidéo'!J9-N('Évolution par vidéo'!J8))</f>
        <v/>
      </c>
      <c r="K9" s="3">
        <f>IF('Évolution par vidéo'!K9="","",'Évolution par vidéo'!K9-N('Évolution par vidéo'!K8))</f>
        <v/>
      </c>
      <c r="L9" s="3">
        <f>IF('Évolution par vidéo'!L9="","",'Évolution par vidéo'!L9-N('Évolution par vidéo'!L8))</f>
        <v/>
      </c>
      <c r="M9" s="3">
        <f>IF('Évolution par vidéo'!M9="","",'Évolution par vidéo'!M9-N('Évolution par vidéo'!M8))</f>
        <v/>
      </c>
      <c r="N9" s="3">
        <f>IF('Évolution par vidéo'!N9="","",'Évolution par vidéo'!N9-N('Évolution par vidéo'!N8))</f>
        <v/>
      </c>
      <c r="O9" s="3">
        <f>IF('Évolution par vidéo'!O9="","",'Évolution par vidéo'!O9-N('Évolution par vidéo'!O8))</f>
        <v/>
      </c>
      <c r="P9" s="3">
        <f>IF('Évolution par vidéo'!P9="","",'Évolution par vidéo'!P9-N('Évolution par vidéo'!P8))</f>
        <v/>
      </c>
      <c r="Q9" s="3">
        <f>SUM(B9:P9)</f>
        <v/>
      </c>
    </row>
    <row r="10">
      <c r="A10" s="2" t="inlineStr">
        <is>
          <t>2026-10-26</t>
        </is>
      </c>
      <c r="B10" s="3">
        <f>IF('Évolution par vidéo'!B10="","",'Évolution par vidéo'!B10-N('Évolution par vidéo'!B9))</f>
        <v/>
      </c>
      <c r="C10" s="3">
        <f>IF('Évolution par vidéo'!C10="","",'Évolution par vidéo'!C10-N('Évolution par vidéo'!C9))</f>
        <v/>
      </c>
      <c r="D10" s="3">
        <f>IF('Évolution par vidéo'!D10="","",'Évolution par vidéo'!D10-N('Évolution par vidéo'!D9))</f>
        <v/>
      </c>
      <c r="E10" s="3">
        <f>IF('Évolution par vidéo'!E10="","",'Évolution par vidéo'!E10-N('Évolution par vidéo'!E9))</f>
        <v/>
      </c>
      <c r="F10" s="3">
        <f>IF('Évolution par vidéo'!F10="","",'Évolution par vidéo'!F10-N('Évolution par vidéo'!F9))</f>
        <v/>
      </c>
      <c r="G10" s="3">
        <f>IF('Évolution par vidéo'!G10="","",'Évolution par vidéo'!G10-N('Évolution par vidéo'!G9))</f>
        <v/>
      </c>
      <c r="H10" s="3">
        <f>IF('Évolution par vidéo'!H10="","",'Évolution par vidéo'!H10-N('Évolution par vidéo'!H9))</f>
        <v/>
      </c>
      <c r="I10" s="3">
        <f>IF('Évolution par vidéo'!I10="","",'Évolution par vidéo'!I10-N('Évolution par vidéo'!I9))</f>
        <v/>
      </c>
      <c r="J10" s="3">
        <f>IF('Évolution par vidéo'!J10="","",'Évolution par vidéo'!J10-N('Évolution par vidéo'!J9))</f>
        <v/>
      </c>
      <c r="K10" s="3">
        <f>IF('Évolution par vidéo'!K10="","",'Évolution par vidéo'!K10-N('Évolution par vidéo'!K9))</f>
        <v/>
      </c>
      <c r="L10" s="3">
        <f>IF('Évolution par vidéo'!L10="","",'Évolution par vidéo'!L10-N('Évolution par vidéo'!L9))</f>
        <v/>
      </c>
      <c r="M10" s="3">
        <f>IF('Évolution par vidéo'!M10="","",'Évolution par vidéo'!M10-N('Évolution par vidéo'!M9))</f>
        <v/>
      </c>
      <c r="N10" s="3">
        <f>IF('Évolution par vidéo'!N10="","",'Évolution par vidéo'!N10-N('Évolution par vidéo'!N9))</f>
        <v/>
      </c>
      <c r="O10" s="3">
        <f>IF('Évolution par vidéo'!O10="","",'Évolution par vidéo'!O10-N('Évolution par vidéo'!O9))</f>
        <v/>
      </c>
      <c r="P10" s="3">
        <f>IF('Évolution par vidéo'!P10="","",'Évolution par vidéo'!P10-N('Évolution par vidéo'!P9))</f>
        <v/>
      </c>
      <c r="Q10" s="3">
        <f>SUM(B10:P10)</f>
        <v/>
      </c>
    </row>
    <row r="11">
      <c r="A11" s="2" t="inlineStr">
        <is>
          <t>2026-10-27</t>
        </is>
      </c>
      <c r="B11" s="3">
        <f>IF('Évolution par vidéo'!B11="","",'Évolution par vidéo'!B11-N('Évolution par vidéo'!B10))</f>
        <v/>
      </c>
      <c r="C11" s="3">
        <f>IF('Évolution par vidéo'!C11="","",'Évolution par vidéo'!C11-N('Évolution par vidéo'!C10))</f>
        <v/>
      </c>
      <c r="D11" s="3">
        <f>IF('Évolution par vidéo'!D11="","",'Évolution par vidéo'!D11-N('Évolution par vidéo'!D10))</f>
        <v/>
      </c>
      <c r="E11" s="3">
        <f>IF('Évolution par vidéo'!E11="","",'Évolution par vidéo'!E11-N('Évolution par vidéo'!E10))</f>
        <v/>
      </c>
      <c r="F11" s="3">
        <f>IF('Évolution par vidéo'!F11="","",'Évolution par vidéo'!F11-N('Évolution par vidéo'!F10))</f>
        <v/>
      </c>
      <c r="G11" s="3">
        <f>IF('Évolution par vidéo'!G11="","",'Évolution par vidéo'!G11-N('Évolution par vidéo'!G10))</f>
        <v/>
      </c>
      <c r="H11" s="3">
        <f>IF('Évolution par vidéo'!H11="","",'Évolution par vidéo'!H11-N('Évolution par vidéo'!H10))</f>
        <v/>
      </c>
      <c r="I11" s="3">
        <f>IF('Évolution par vidéo'!I11="","",'Évolution par vidéo'!I11-N('Évolution par vidéo'!I10))</f>
        <v/>
      </c>
      <c r="J11" s="3">
        <f>IF('Évolution par vidéo'!J11="","",'Évolution par vidéo'!J11-N('Évolution par vidéo'!J10))</f>
        <v/>
      </c>
      <c r="K11" s="3">
        <f>IF('Évolution par vidéo'!K11="","",'Évolution par vidéo'!K11-N('Évolution par vidéo'!K10))</f>
        <v/>
      </c>
      <c r="L11" s="3">
        <f>IF('Évolution par vidéo'!L11="","",'Évolution par vidéo'!L11-N('Évolution par vidéo'!L10))</f>
        <v/>
      </c>
      <c r="M11" s="3">
        <f>IF('Évolution par vidéo'!M11="","",'Évolution par vidéo'!M11-N('Évolution par vidéo'!M10))</f>
        <v/>
      </c>
      <c r="N11" s="3">
        <f>IF('Évolution par vidéo'!N11="","",'Évolution par vidéo'!N11-N('Évolution par vidéo'!N10))</f>
        <v/>
      </c>
      <c r="O11" s="3">
        <f>IF('Évolution par vidéo'!O11="","",'Évolution par vidéo'!O11-N('Évolution par vidéo'!O10))</f>
        <v/>
      </c>
      <c r="P11" s="3">
        <f>IF('Évolution par vidéo'!P11="","",'Évolution par vidéo'!P11-N('Évolution par vidéo'!P10))</f>
        <v/>
      </c>
      <c r="Q11" s="3">
        <f>SUM(B11:P11)</f>
        <v/>
      </c>
    </row>
    <row r="12">
      <c r="A12" s="2" t="inlineStr">
        <is>
          <t>2026-10-28</t>
        </is>
      </c>
      <c r="B12" s="3">
        <f>IF('Évolution par vidéo'!B12="","",'Évolution par vidéo'!B12-N('Évolution par vidéo'!B11))</f>
        <v/>
      </c>
      <c r="C12" s="3">
        <f>IF('Évolution par vidéo'!C12="","",'Évolution par vidéo'!C12-N('Évolution par vidéo'!C11))</f>
        <v/>
      </c>
      <c r="D12" s="3">
        <f>IF('Évolution par vidéo'!D12="","",'Évolution par vidéo'!D12-N('Évolution par vidéo'!D11))</f>
        <v/>
      </c>
      <c r="E12" s="3">
        <f>IF('Évolution par vidéo'!E12="","",'Évolution par vidéo'!E12-N('Évolution par vidéo'!E11))</f>
        <v/>
      </c>
      <c r="F12" s="3">
        <f>IF('Évolution par vidéo'!F12="","",'Évolution par vidéo'!F12-N('Évolution par vidéo'!F11))</f>
        <v/>
      </c>
      <c r="G12" s="3">
        <f>IF('Évolution par vidéo'!G12="","",'Évolution par vidéo'!G12-N('Évolution par vidéo'!G11))</f>
        <v/>
      </c>
      <c r="H12" s="3">
        <f>IF('Évolution par vidéo'!H12="","",'Évolution par vidéo'!H12-N('Évolution par vidéo'!H11))</f>
        <v/>
      </c>
      <c r="I12" s="3">
        <f>IF('Évolution par vidéo'!I12="","",'Évolution par vidéo'!I12-N('Évolution par vidéo'!I11))</f>
        <v/>
      </c>
      <c r="J12" s="3">
        <f>IF('Évolution par vidéo'!J12="","",'Évolution par vidéo'!J12-N('Évolution par vidéo'!J11))</f>
        <v/>
      </c>
      <c r="K12" s="3">
        <f>IF('Évolution par vidéo'!K12="","",'Évolution par vidéo'!K12-N('Évolution par vidéo'!K11))</f>
        <v/>
      </c>
      <c r="L12" s="3">
        <f>IF('Évolution par vidéo'!L12="","",'Évolution par vidéo'!L12-N('Évolution par vidéo'!L11))</f>
        <v/>
      </c>
      <c r="M12" s="3">
        <f>IF('Évolution par vidéo'!M12="","",'Évolution par vidéo'!M12-N('Évolution par vidéo'!M11))</f>
        <v/>
      </c>
      <c r="N12" s="3">
        <f>IF('Évolution par vidéo'!N12="","",'Évolution par vidéo'!N12-N('Évolution par vidéo'!N11))</f>
        <v/>
      </c>
      <c r="O12" s="3">
        <f>IF('Évolution par vidéo'!O12="","",'Évolution par vidéo'!O12-N('Évolution par vidéo'!O11))</f>
        <v/>
      </c>
      <c r="P12" s="3">
        <f>IF('Évolution par vidéo'!P12="","",'Évolution par vidéo'!P12-N('Évolution par vidéo'!P11))</f>
        <v/>
      </c>
      <c r="Q12" s="3">
        <f>SUM(B12:P12)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1" customWidth="1" min="13" max="13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10-21 À toi de juger : taxer</t>
        </is>
      </c>
      <c r="D1" s="1" t="inlineStr">
        <is>
          <t>10-21 Gel des pensions : oui</t>
        </is>
      </c>
      <c r="E1" s="1" t="inlineStr">
        <is>
          <t>10-22 Couper les réseaux soc</t>
        </is>
      </c>
      <c r="F1" s="1" t="inlineStr">
        <is>
          <t>10-24 À toi de juger : il fa</t>
        </is>
      </c>
      <c r="G1" s="1" t="inlineStr">
        <is>
          <t>10-24 « Oui, nous avons perd</t>
        </is>
      </c>
      <c r="H1" s="1" t="inlineStr">
        <is>
          <t>10-24 Cinq infos de la semai</t>
        </is>
      </c>
      <c r="I1" s="1" t="inlineStr">
        <is>
          <t>10-25 Des millions publics p</t>
        </is>
      </c>
      <c r="J1" s="1" t="inlineStr">
        <is>
          <t>10-25 Vendredi, Macron au co</t>
        </is>
      </c>
      <c r="K1" s="1" t="inlineStr">
        <is>
          <t xml:space="preserve">10-25 2 513 gardes à vue et </t>
        </is>
      </c>
      <c r="L1" s="1" t="inlineStr">
        <is>
          <t>10-27 54 milliards d'efforts</t>
        </is>
      </c>
      <c r="M1" s="1" t="inlineStr">
        <is>
          <t>Vues totales</t>
        </is>
      </c>
    </row>
    <row r="2">
      <c r="A2" s="2" t="inlineStr">
        <is>
          <t>2026-10-24 17:00</t>
        </is>
      </c>
      <c r="B2" s="3" t="n">
        <v>6</v>
      </c>
      <c r="C2" s="3" t="n">
        <v>128</v>
      </c>
      <c r="D2" s="3" t="n">
        <v>114</v>
      </c>
      <c r="E2" s="3" t="n">
        <v>76</v>
      </c>
      <c r="F2" s="3" t="n">
        <v>119</v>
      </c>
      <c r="G2" s="3" t="n">
        <v>124</v>
      </c>
      <c r="H2" s="3" t="n"/>
      <c r="I2" s="3" t="n"/>
      <c r="J2" s="3" t="n"/>
      <c r="K2" s="3" t="n"/>
      <c r="L2" s="3" t="n"/>
      <c r="M2" s="3">
        <f>SUM(C2:L2)</f>
        <v/>
      </c>
    </row>
    <row r="3">
      <c r="A3" s="2" t="inlineStr">
        <is>
          <t>2026-10-24 18:00</t>
        </is>
      </c>
      <c r="B3" s="3" t="n">
        <v>6</v>
      </c>
      <c r="C3" s="3" t="n">
        <v>128</v>
      </c>
      <c r="D3" s="3" t="n">
        <v>114</v>
      </c>
      <c r="E3" s="3" t="n">
        <v>76</v>
      </c>
      <c r="F3" s="3" t="n">
        <v>119</v>
      </c>
      <c r="G3" s="3" t="n">
        <v>130</v>
      </c>
      <c r="H3" s="3" t="n"/>
      <c r="I3" s="3" t="n"/>
      <c r="J3" s="3" t="n"/>
      <c r="K3" s="3" t="n"/>
      <c r="L3" s="3" t="n"/>
      <c r="M3" s="3">
        <f>SUM(C3:L3)</f>
        <v/>
      </c>
    </row>
    <row r="4">
      <c r="A4" s="2" t="inlineStr">
        <is>
          <t>2026-10-24 19:00</t>
        </is>
      </c>
      <c r="B4" s="3" t="n">
        <v>6</v>
      </c>
      <c r="C4" s="3" t="n">
        <v>128</v>
      </c>
      <c r="D4" s="3" t="n">
        <v>114</v>
      </c>
      <c r="E4" s="3" t="n">
        <v>76</v>
      </c>
      <c r="F4" s="3" t="n">
        <v>119</v>
      </c>
      <c r="G4" s="3" t="n">
        <v>135</v>
      </c>
      <c r="H4" s="3" t="n"/>
      <c r="I4" s="3" t="n"/>
      <c r="J4" s="3" t="n"/>
      <c r="K4" s="3" t="n"/>
      <c r="L4" s="3" t="n"/>
      <c r="M4" s="3">
        <f>SUM(C4:L4)</f>
        <v/>
      </c>
    </row>
    <row r="5">
      <c r="A5" s="2" t="inlineStr">
        <is>
          <t>2026-10-24 20:00</t>
        </is>
      </c>
      <c r="B5" s="3" t="n">
        <v>6</v>
      </c>
      <c r="C5" s="3" t="n">
        <v>128</v>
      </c>
      <c r="D5" s="3" t="n">
        <v>114</v>
      </c>
      <c r="E5" s="3" t="n">
        <v>76</v>
      </c>
      <c r="F5" s="3" t="n">
        <v>120</v>
      </c>
      <c r="G5" s="3" t="n">
        <v>137</v>
      </c>
      <c r="H5" s="3" t="n">
        <v>0</v>
      </c>
      <c r="I5" s="3" t="n"/>
      <c r="J5" s="3" t="n"/>
      <c r="K5" s="3" t="n"/>
      <c r="L5" s="3" t="n"/>
      <c r="M5" s="3">
        <f>SUM(C5:L5)</f>
        <v/>
      </c>
    </row>
    <row r="6">
      <c r="A6" s="2" t="inlineStr">
        <is>
          <t>2026-10-24 21:00</t>
        </is>
      </c>
      <c r="B6" s="3" t="n">
        <v>6</v>
      </c>
      <c r="C6" s="3" t="n">
        <v>128</v>
      </c>
      <c r="D6" s="3" t="n">
        <v>114</v>
      </c>
      <c r="E6" s="3" t="n">
        <v>76</v>
      </c>
      <c r="F6" s="3" t="n">
        <v>120</v>
      </c>
      <c r="G6" s="3" t="n">
        <v>137</v>
      </c>
      <c r="H6" s="3" t="n">
        <v>34</v>
      </c>
      <c r="I6" s="3" t="n"/>
      <c r="J6" s="3" t="n"/>
      <c r="K6" s="3" t="n"/>
      <c r="L6" s="3" t="n"/>
      <c r="M6" s="3">
        <f>SUM(C6:L6)</f>
        <v/>
      </c>
    </row>
    <row r="7">
      <c r="A7" s="2" t="inlineStr">
        <is>
          <t>2026-10-24 22:00</t>
        </is>
      </c>
      <c r="B7" s="3" t="n">
        <v>6</v>
      </c>
      <c r="C7" s="3" t="n">
        <v>128</v>
      </c>
      <c r="D7" s="3" t="n">
        <v>114</v>
      </c>
      <c r="E7" s="3" t="n">
        <v>76</v>
      </c>
      <c r="F7" s="3" t="n">
        <v>120</v>
      </c>
      <c r="G7" s="3" t="n">
        <v>137</v>
      </c>
      <c r="H7" s="3" t="n">
        <v>44</v>
      </c>
      <c r="I7" s="3" t="n"/>
      <c r="J7" s="3" t="n"/>
      <c r="K7" s="3" t="n"/>
      <c r="L7" s="3" t="n"/>
      <c r="M7" s="3">
        <f>SUM(C7:L7)</f>
        <v/>
      </c>
    </row>
    <row r="8">
      <c r="A8" s="2" t="inlineStr">
        <is>
          <t>2026-10-24 23:00</t>
        </is>
      </c>
      <c r="B8" s="3" t="n">
        <v>6</v>
      </c>
      <c r="C8" s="3" t="n">
        <v>128</v>
      </c>
      <c r="D8" s="3" t="n">
        <v>114</v>
      </c>
      <c r="E8" s="3" t="n">
        <v>76</v>
      </c>
      <c r="F8" s="3" t="n">
        <v>120</v>
      </c>
      <c r="G8" s="3" t="n">
        <v>138</v>
      </c>
      <c r="H8" s="3" t="n">
        <v>70</v>
      </c>
      <c r="I8" s="3" t="n"/>
      <c r="J8" s="3" t="n"/>
      <c r="K8" s="3" t="n"/>
      <c r="L8" s="3" t="n"/>
      <c r="M8" s="3">
        <f>SUM(C8:L8)</f>
        <v/>
      </c>
    </row>
    <row r="9">
      <c r="A9" s="2" t="inlineStr">
        <is>
          <t>2026-10-25 06:00</t>
        </is>
      </c>
      <c r="B9" s="3" t="n">
        <v>6</v>
      </c>
      <c r="C9" s="3" t="n">
        <v>128</v>
      </c>
      <c r="D9" s="3" t="n">
        <v>114</v>
      </c>
      <c r="E9" s="3" t="n">
        <v>76</v>
      </c>
      <c r="F9" s="3" t="n">
        <v>125</v>
      </c>
      <c r="G9" s="3" t="n">
        <v>167</v>
      </c>
      <c r="H9" s="3" t="n">
        <v>133</v>
      </c>
      <c r="I9" s="3" t="n"/>
      <c r="J9" s="3" t="n"/>
      <c r="K9" s="3" t="n"/>
      <c r="L9" s="3" t="n"/>
      <c r="M9" s="3">
        <f>SUM(C9:L9)</f>
        <v/>
      </c>
    </row>
    <row r="10">
      <c r="A10" s="2" t="inlineStr">
        <is>
          <t>2026-10-25 07:00</t>
        </is>
      </c>
      <c r="B10" s="3" t="n">
        <v>6</v>
      </c>
      <c r="C10" s="3" t="n">
        <v>128</v>
      </c>
      <c r="D10" s="3" t="n">
        <v>114</v>
      </c>
      <c r="E10" s="3" t="n">
        <v>76</v>
      </c>
      <c r="F10" s="3" t="n">
        <v>127</v>
      </c>
      <c r="G10" s="3" t="n">
        <v>172</v>
      </c>
      <c r="H10" s="3" t="n">
        <v>133</v>
      </c>
      <c r="I10" s="3" t="n"/>
      <c r="J10" s="3" t="n"/>
      <c r="K10" s="3" t="n"/>
      <c r="L10" s="3" t="n"/>
      <c r="M10" s="3">
        <f>SUM(C10:L10)</f>
        <v/>
      </c>
    </row>
    <row r="11">
      <c r="A11" s="2" t="inlineStr">
        <is>
          <t>2026-10-25 08:00</t>
        </is>
      </c>
      <c r="B11" s="3" t="n">
        <v>6</v>
      </c>
      <c r="C11" s="3" t="n">
        <v>128</v>
      </c>
      <c r="D11" s="3" t="n">
        <v>114</v>
      </c>
      <c r="E11" s="3" t="n">
        <v>76</v>
      </c>
      <c r="F11" s="3" t="n">
        <v>127</v>
      </c>
      <c r="G11" s="3" t="n">
        <v>180</v>
      </c>
      <c r="H11" s="3" t="n">
        <v>133</v>
      </c>
      <c r="I11" s="3" t="n"/>
      <c r="J11" s="3" t="n"/>
      <c r="K11" s="3" t="n"/>
      <c r="L11" s="3" t="n"/>
      <c r="M11" s="3">
        <f>SUM(C11:L11)</f>
        <v/>
      </c>
    </row>
    <row r="12">
      <c r="A12" s="2" t="inlineStr">
        <is>
          <t>2026-10-25 09:00</t>
        </is>
      </c>
      <c r="B12" s="3" t="n">
        <v>6</v>
      </c>
      <c r="C12" s="3" t="n">
        <v>128</v>
      </c>
      <c r="D12" s="3" t="n">
        <v>114</v>
      </c>
      <c r="E12" s="3" t="n">
        <v>76</v>
      </c>
      <c r="F12" s="3" t="n">
        <v>127</v>
      </c>
      <c r="G12" s="3" t="n">
        <v>188</v>
      </c>
      <c r="H12" s="3" t="n">
        <v>134</v>
      </c>
      <c r="I12" s="3" t="n"/>
      <c r="J12" s="3" t="n"/>
      <c r="K12" s="3" t="n"/>
      <c r="L12" s="3" t="n"/>
      <c r="M12" s="3">
        <f>SUM(C12:L12)</f>
        <v/>
      </c>
    </row>
    <row r="13">
      <c r="A13" s="2" t="inlineStr">
        <is>
          <t>2026-10-25 10:00</t>
        </is>
      </c>
      <c r="B13" s="3" t="n">
        <v>6</v>
      </c>
      <c r="C13" s="3" t="n">
        <v>128</v>
      </c>
      <c r="D13" s="3" t="n">
        <v>114</v>
      </c>
      <c r="E13" s="3" t="n">
        <v>76</v>
      </c>
      <c r="F13" s="3" t="n">
        <v>130</v>
      </c>
      <c r="G13" s="3" t="n">
        <v>199</v>
      </c>
      <c r="H13" s="3" t="n">
        <v>134</v>
      </c>
      <c r="I13" s="3" t="n"/>
      <c r="J13" s="3" t="n"/>
      <c r="K13" s="3" t="n"/>
      <c r="L13" s="3" t="n"/>
      <c r="M13" s="3">
        <f>SUM(C13:L13)</f>
        <v/>
      </c>
    </row>
    <row r="14">
      <c r="A14" s="2" t="inlineStr">
        <is>
          <t>2026-10-25 11:00</t>
        </is>
      </c>
      <c r="B14" s="3" t="n">
        <v>6</v>
      </c>
      <c r="C14" s="3" t="n">
        <v>128</v>
      </c>
      <c r="D14" s="3" t="n">
        <v>114</v>
      </c>
      <c r="E14" s="3" t="n">
        <v>76</v>
      </c>
      <c r="F14" s="3" t="n">
        <v>131</v>
      </c>
      <c r="G14" s="3" t="n">
        <v>204</v>
      </c>
      <c r="H14" s="3" t="n">
        <v>134</v>
      </c>
      <c r="I14" s="3" t="n"/>
      <c r="J14" s="3" t="n"/>
      <c r="K14" s="3" t="n"/>
      <c r="L14" s="3" t="n"/>
      <c r="M14" s="3">
        <f>SUM(C14:L14)</f>
        <v/>
      </c>
    </row>
    <row r="15">
      <c r="A15" s="2" t="inlineStr">
        <is>
          <t>2026-10-25 12:00</t>
        </is>
      </c>
      <c r="B15" s="3" t="n">
        <v>6</v>
      </c>
      <c r="C15" s="3" t="n">
        <v>128</v>
      </c>
      <c r="D15" s="3" t="n">
        <v>114</v>
      </c>
      <c r="E15" s="3" t="n">
        <v>76</v>
      </c>
      <c r="F15" s="3" t="n">
        <v>133</v>
      </c>
      <c r="G15" s="3" t="n">
        <v>219</v>
      </c>
      <c r="H15" s="3" t="n">
        <v>134</v>
      </c>
      <c r="I15" s="3" t="n"/>
      <c r="J15" s="3" t="n"/>
      <c r="K15" s="3" t="n"/>
      <c r="L15" s="3" t="n"/>
      <c r="M15" s="3">
        <f>SUM(C15:L15)</f>
        <v/>
      </c>
    </row>
    <row r="16">
      <c r="A16" s="2" t="inlineStr">
        <is>
          <t>2026-10-25 13:00</t>
        </is>
      </c>
      <c r="B16" s="3" t="n">
        <v>6</v>
      </c>
      <c r="C16" s="3" t="n">
        <v>128</v>
      </c>
      <c r="D16" s="3" t="n">
        <v>114</v>
      </c>
      <c r="E16" s="3" t="n">
        <v>76</v>
      </c>
      <c r="F16" s="3" t="n">
        <v>133</v>
      </c>
      <c r="G16" s="3" t="n">
        <v>228</v>
      </c>
      <c r="H16" s="3" t="n">
        <v>134</v>
      </c>
      <c r="I16" s="3" t="n"/>
      <c r="J16" s="3" t="n"/>
      <c r="K16" s="3" t="n"/>
      <c r="L16" s="3" t="n"/>
      <c r="M16" s="3">
        <f>SUM(C16:L16)</f>
        <v/>
      </c>
    </row>
    <row r="17">
      <c r="A17" s="2" t="inlineStr">
        <is>
          <t>2026-10-25 14:00</t>
        </is>
      </c>
      <c r="B17" s="3" t="n">
        <v>6</v>
      </c>
      <c r="C17" s="3" t="n">
        <v>128</v>
      </c>
      <c r="D17" s="3" t="n">
        <v>114</v>
      </c>
      <c r="E17" s="3" t="n">
        <v>76</v>
      </c>
      <c r="F17" s="3" t="n">
        <v>133</v>
      </c>
      <c r="G17" s="3" t="n">
        <v>235</v>
      </c>
      <c r="H17" s="3" t="n">
        <v>134</v>
      </c>
      <c r="I17" s="3" t="n"/>
      <c r="J17" s="3" t="n"/>
      <c r="K17" s="3" t="n"/>
      <c r="L17" s="3" t="n"/>
      <c r="M17" s="3">
        <f>SUM(C17:L17)</f>
        <v/>
      </c>
    </row>
    <row r="18">
      <c r="A18" s="2" t="inlineStr">
        <is>
          <t>2026-10-25 15:00</t>
        </is>
      </c>
      <c r="B18" s="3" t="n">
        <v>6</v>
      </c>
      <c r="C18" s="3" t="n">
        <v>128</v>
      </c>
      <c r="D18" s="3" t="n">
        <v>114</v>
      </c>
      <c r="E18" s="3" t="n">
        <v>76</v>
      </c>
      <c r="F18" s="3" t="n">
        <v>133</v>
      </c>
      <c r="G18" s="3" t="n">
        <v>240</v>
      </c>
      <c r="H18" s="3" t="n">
        <v>134</v>
      </c>
      <c r="I18" s="3" t="n">
        <v>0</v>
      </c>
      <c r="J18" s="3" t="n">
        <v>0</v>
      </c>
      <c r="K18" s="3" t="n"/>
      <c r="L18" s="3" t="n"/>
      <c r="M18" s="3">
        <f>SUM(C18:L18)</f>
        <v/>
      </c>
    </row>
    <row r="19">
      <c r="A19" s="2" t="inlineStr">
        <is>
          <t>2026-10-25 16:00</t>
        </is>
      </c>
      <c r="B19" s="3" t="n">
        <v>7</v>
      </c>
      <c r="C19" s="3" t="n">
        <v>128</v>
      </c>
      <c r="D19" s="3" t="n">
        <v>114</v>
      </c>
      <c r="E19" s="3" t="n">
        <v>76</v>
      </c>
      <c r="F19" s="3" t="n">
        <v>133</v>
      </c>
      <c r="G19" s="3" t="n">
        <v>242</v>
      </c>
      <c r="H19" s="3" t="n">
        <v>134</v>
      </c>
      <c r="I19" s="3" t="n">
        <v>24</v>
      </c>
      <c r="J19" s="3" t="n">
        <v>53</v>
      </c>
      <c r="K19" s="3" t="n"/>
      <c r="L19" s="3" t="n"/>
      <c r="M19" s="3">
        <f>SUM(C19:L19)</f>
        <v/>
      </c>
    </row>
    <row r="20">
      <c r="A20" s="2" t="inlineStr">
        <is>
          <t>2026-10-25 17:00</t>
        </is>
      </c>
      <c r="B20" s="3" t="n">
        <v>7</v>
      </c>
      <c r="C20" s="3" t="n">
        <v>128</v>
      </c>
      <c r="D20" s="3" t="n">
        <v>114</v>
      </c>
      <c r="E20" s="3" t="n">
        <v>76</v>
      </c>
      <c r="F20" s="3" t="n">
        <v>133</v>
      </c>
      <c r="G20" s="3" t="n">
        <v>242</v>
      </c>
      <c r="H20" s="3" t="n">
        <v>134</v>
      </c>
      <c r="I20" s="3" t="n">
        <v>26</v>
      </c>
      <c r="J20" s="3" t="n">
        <v>80</v>
      </c>
      <c r="K20" s="3" t="n"/>
      <c r="L20" s="3" t="n"/>
      <c r="M20" s="3">
        <f>SUM(C20:L20)</f>
        <v/>
      </c>
    </row>
    <row r="21">
      <c r="A21" s="2" t="inlineStr">
        <is>
          <t>2026-10-25 18:00</t>
        </is>
      </c>
      <c r="B21" s="3" t="n">
        <v>7</v>
      </c>
      <c r="C21" s="3" t="n">
        <v>128</v>
      </c>
      <c r="D21" s="3" t="n">
        <v>114</v>
      </c>
      <c r="E21" s="3" t="n">
        <v>76</v>
      </c>
      <c r="F21" s="3" t="n">
        <v>133</v>
      </c>
      <c r="G21" s="3" t="n">
        <v>242</v>
      </c>
      <c r="H21" s="3" t="n">
        <v>134</v>
      </c>
      <c r="I21" s="3" t="n">
        <v>35</v>
      </c>
      <c r="J21" s="3" t="n">
        <v>128</v>
      </c>
      <c r="K21" s="3" t="n">
        <v>0</v>
      </c>
      <c r="L21" s="3" t="n"/>
      <c r="M21" s="3">
        <f>SUM(C21:L21)</f>
        <v/>
      </c>
    </row>
    <row r="22">
      <c r="A22" s="2" t="inlineStr">
        <is>
          <t>2026-10-25 19:00</t>
        </is>
      </c>
      <c r="B22" s="3" t="n">
        <v>7</v>
      </c>
      <c r="C22" s="3" t="n">
        <v>128</v>
      </c>
      <c r="D22" s="3" t="n">
        <v>114</v>
      </c>
      <c r="E22" s="3" t="n">
        <v>76</v>
      </c>
      <c r="F22" s="3" t="n">
        <v>133</v>
      </c>
      <c r="G22" s="3" t="n">
        <v>243</v>
      </c>
      <c r="H22" s="3" t="n">
        <v>134</v>
      </c>
      <c r="I22" s="3" t="n">
        <v>35</v>
      </c>
      <c r="J22" s="3" t="n">
        <v>129</v>
      </c>
      <c r="K22" s="3" t="n">
        <v>43</v>
      </c>
      <c r="L22" s="3" t="n"/>
      <c r="M22" s="3">
        <f>SUM(C22:L22)</f>
        <v/>
      </c>
    </row>
    <row r="23">
      <c r="A23" s="2" t="inlineStr">
        <is>
          <t>2026-10-25 20:00</t>
        </is>
      </c>
      <c r="B23" s="3" t="n">
        <v>7</v>
      </c>
      <c r="C23" s="3" t="n">
        <v>128</v>
      </c>
      <c r="D23" s="3" t="n">
        <v>114</v>
      </c>
      <c r="E23" s="3" t="n">
        <v>76</v>
      </c>
      <c r="F23" s="3" t="n">
        <v>133</v>
      </c>
      <c r="G23" s="3" t="n">
        <v>243</v>
      </c>
      <c r="H23" s="3" t="n">
        <v>134</v>
      </c>
      <c r="I23" s="3" t="n">
        <v>41</v>
      </c>
      <c r="J23" s="3" t="n">
        <v>129</v>
      </c>
      <c r="K23" s="3" t="n">
        <v>64</v>
      </c>
      <c r="L23" s="3" t="n"/>
      <c r="M23" s="3">
        <f>SUM(C23:L23)</f>
        <v/>
      </c>
    </row>
    <row r="24">
      <c r="A24" s="2" t="inlineStr">
        <is>
          <t>2026-10-25 21:00</t>
        </is>
      </c>
      <c r="B24" s="3" t="n">
        <v>7</v>
      </c>
      <c r="C24" s="3" t="n">
        <v>128</v>
      </c>
      <c r="D24" s="3" t="n">
        <v>114</v>
      </c>
      <c r="E24" s="3" t="n">
        <v>76</v>
      </c>
      <c r="F24" s="3" t="n">
        <v>133</v>
      </c>
      <c r="G24" s="3" t="n">
        <v>244</v>
      </c>
      <c r="H24" s="3" t="n">
        <v>134</v>
      </c>
      <c r="I24" s="3" t="n">
        <v>62</v>
      </c>
      <c r="J24" s="3" t="n">
        <v>129</v>
      </c>
      <c r="K24" s="3" t="n">
        <v>99</v>
      </c>
      <c r="L24" s="3" t="n"/>
      <c r="M24" s="3">
        <f>SUM(C24:L24)</f>
        <v/>
      </c>
    </row>
    <row r="25">
      <c r="A25" s="2" t="inlineStr">
        <is>
          <t>2026-10-25 22:00</t>
        </is>
      </c>
      <c r="B25" s="3" t="n">
        <v>7</v>
      </c>
      <c r="C25" s="3" t="n">
        <v>128</v>
      </c>
      <c r="D25" s="3" t="n">
        <v>114</v>
      </c>
      <c r="E25" s="3" t="n">
        <v>76</v>
      </c>
      <c r="F25" s="3" t="n">
        <v>133</v>
      </c>
      <c r="G25" s="3" t="n">
        <v>244</v>
      </c>
      <c r="H25" s="3" t="n">
        <v>134</v>
      </c>
      <c r="I25" s="3" t="n">
        <v>88</v>
      </c>
      <c r="J25" s="3" t="n">
        <v>129</v>
      </c>
      <c r="K25" s="3" t="n">
        <v>111</v>
      </c>
      <c r="L25" s="3" t="n"/>
      <c r="M25" s="3">
        <f>SUM(C25:L25)</f>
        <v/>
      </c>
    </row>
    <row r="26">
      <c r="A26" s="2" t="inlineStr">
        <is>
          <t>2026-10-26 06:00</t>
        </is>
      </c>
      <c r="B26" s="3" t="n">
        <v>7</v>
      </c>
      <c r="C26" s="3" t="n">
        <v>128</v>
      </c>
      <c r="D26" s="3" t="n">
        <v>114</v>
      </c>
      <c r="E26" s="3" t="n">
        <v>76</v>
      </c>
      <c r="F26" s="3" t="n">
        <v>133</v>
      </c>
      <c r="G26" s="3" t="n">
        <v>244</v>
      </c>
      <c r="H26" s="3" t="n">
        <v>134</v>
      </c>
      <c r="I26" s="3" t="n">
        <v>113</v>
      </c>
      <c r="J26" s="3" t="n">
        <v>129</v>
      </c>
      <c r="K26" s="3" t="n">
        <v>115</v>
      </c>
      <c r="L26" s="3" t="n"/>
      <c r="M26" s="3">
        <f>SUM(C26:L26)</f>
        <v/>
      </c>
    </row>
    <row r="27">
      <c r="A27" s="2" t="inlineStr">
        <is>
          <t>2026-10-26 07:00</t>
        </is>
      </c>
      <c r="B27" s="3" t="n">
        <v>7</v>
      </c>
      <c r="C27" s="3" t="n">
        <v>128</v>
      </c>
      <c r="D27" s="3" t="n">
        <v>114</v>
      </c>
      <c r="E27" s="3" t="n">
        <v>76</v>
      </c>
      <c r="F27" s="3" t="n">
        <v>133</v>
      </c>
      <c r="G27" s="3" t="n">
        <v>244</v>
      </c>
      <c r="H27" s="3" t="n">
        <v>134</v>
      </c>
      <c r="I27" s="3" t="n">
        <v>113</v>
      </c>
      <c r="J27" s="3" t="n">
        <v>129</v>
      </c>
      <c r="K27" s="3" t="n">
        <v>115</v>
      </c>
      <c r="L27" s="3" t="n"/>
      <c r="M27" s="3">
        <f>SUM(C27:L27)</f>
        <v/>
      </c>
    </row>
    <row r="28">
      <c r="A28" s="2" t="inlineStr">
        <is>
          <t>2026-10-26 08:00</t>
        </is>
      </c>
      <c r="B28" s="3" t="n">
        <v>7</v>
      </c>
      <c r="C28" s="3" t="n">
        <v>128</v>
      </c>
      <c r="D28" s="3" t="n">
        <v>114</v>
      </c>
      <c r="E28" s="3" t="n">
        <v>76</v>
      </c>
      <c r="F28" s="3" t="n">
        <v>133</v>
      </c>
      <c r="G28" s="3" t="n">
        <v>244</v>
      </c>
      <c r="H28" s="3" t="n">
        <v>134</v>
      </c>
      <c r="I28" s="3" t="n">
        <v>113</v>
      </c>
      <c r="J28" s="3" t="n">
        <v>129</v>
      </c>
      <c r="K28" s="3" t="n">
        <v>115</v>
      </c>
      <c r="L28" s="3" t="n"/>
      <c r="M28" s="3">
        <f>SUM(C28:L28)</f>
        <v/>
      </c>
    </row>
    <row r="29">
      <c r="A29" s="2" t="inlineStr">
        <is>
          <t>2026-10-26 09:00</t>
        </is>
      </c>
      <c r="B29" s="3" t="n">
        <v>7</v>
      </c>
      <c r="C29" s="3" t="n">
        <v>128</v>
      </c>
      <c r="D29" s="3" t="n">
        <v>114</v>
      </c>
      <c r="E29" s="3" t="n">
        <v>76</v>
      </c>
      <c r="F29" s="3" t="n">
        <v>133</v>
      </c>
      <c r="G29" s="3" t="n">
        <v>244</v>
      </c>
      <c r="H29" s="3" t="n">
        <v>134</v>
      </c>
      <c r="I29" s="3" t="n">
        <v>114</v>
      </c>
      <c r="J29" s="3" t="n">
        <v>130</v>
      </c>
      <c r="K29" s="3" t="n">
        <v>116</v>
      </c>
      <c r="L29" s="3" t="n"/>
      <c r="M29" s="3">
        <f>SUM(C29:L29)</f>
        <v/>
      </c>
    </row>
    <row r="30">
      <c r="A30" s="2" t="inlineStr">
        <is>
          <t>2026-10-26 10:00</t>
        </is>
      </c>
      <c r="B30" s="3" t="n">
        <v>7</v>
      </c>
      <c r="C30" s="3" t="n">
        <v>128</v>
      </c>
      <c r="D30" s="3" t="n">
        <v>114</v>
      </c>
      <c r="E30" s="3" t="n">
        <v>76</v>
      </c>
      <c r="F30" s="3" t="n">
        <v>133</v>
      </c>
      <c r="G30" s="3" t="n">
        <v>244</v>
      </c>
      <c r="H30" s="3" t="n">
        <v>134</v>
      </c>
      <c r="I30" s="3" t="n">
        <v>114</v>
      </c>
      <c r="J30" s="3" t="n">
        <v>130</v>
      </c>
      <c r="K30" s="3" t="n">
        <v>116</v>
      </c>
      <c r="L30" s="3" t="n"/>
      <c r="M30" s="3">
        <f>SUM(C30:L30)</f>
        <v/>
      </c>
    </row>
    <row r="31">
      <c r="A31" s="2" t="inlineStr">
        <is>
          <t>2026-10-26 11:00</t>
        </is>
      </c>
      <c r="B31" s="3" t="n">
        <v>7</v>
      </c>
      <c r="C31" s="3" t="n">
        <v>128</v>
      </c>
      <c r="D31" s="3" t="n">
        <v>114</v>
      </c>
      <c r="E31" s="3" t="n">
        <v>76</v>
      </c>
      <c r="F31" s="3" t="n">
        <v>133</v>
      </c>
      <c r="G31" s="3" t="n">
        <v>244</v>
      </c>
      <c r="H31" s="3" t="n">
        <v>134</v>
      </c>
      <c r="I31" s="3" t="n">
        <v>114</v>
      </c>
      <c r="J31" s="3" t="n">
        <v>130</v>
      </c>
      <c r="K31" s="3" t="n">
        <v>116</v>
      </c>
      <c r="L31" s="3" t="n"/>
      <c r="M31" s="3">
        <f>SUM(C31:L31)</f>
        <v/>
      </c>
    </row>
    <row r="32">
      <c r="A32" s="2" t="inlineStr">
        <is>
          <t>2026-10-26 12:00</t>
        </is>
      </c>
      <c r="B32" s="3" t="n">
        <v>7</v>
      </c>
      <c r="C32" s="3" t="n">
        <v>128</v>
      </c>
      <c r="D32" s="3" t="n">
        <v>114</v>
      </c>
      <c r="E32" s="3" t="n">
        <v>76</v>
      </c>
      <c r="F32" s="3" t="n">
        <v>133</v>
      </c>
      <c r="G32" s="3" t="n">
        <v>244</v>
      </c>
      <c r="H32" s="3" t="n">
        <v>134</v>
      </c>
      <c r="I32" s="3" t="n">
        <v>114</v>
      </c>
      <c r="J32" s="3" t="n">
        <v>130</v>
      </c>
      <c r="K32" s="3" t="n">
        <v>116</v>
      </c>
      <c r="L32" s="3" t="n"/>
      <c r="M32" s="3">
        <f>SUM(C32:L32)</f>
        <v/>
      </c>
    </row>
    <row r="33">
      <c r="A33" s="2" t="inlineStr">
        <is>
          <t>2026-10-26 14:00</t>
        </is>
      </c>
      <c r="B33" s="3" t="n">
        <v>7</v>
      </c>
      <c r="C33" s="3" t="n">
        <v>128</v>
      </c>
      <c r="D33" s="3" t="n">
        <v>114</v>
      </c>
      <c r="E33" s="3" t="n">
        <v>76</v>
      </c>
      <c r="F33" s="3" t="n">
        <v>133</v>
      </c>
      <c r="G33" s="3" t="n">
        <v>244</v>
      </c>
      <c r="H33" s="3" t="n">
        <v>134</v>
      </c>
      <c r="I33" s="3" t="n">
        <v>114</v>
      </c>
      <c r="J33" s="3" t="n">
        <v>130</v>
      </c>
      <c r="K33" s="3" t="n">
        <v>117</v>
      </c>
      <c r="L33" s="3" t="n"/>
      <c r="M33" s="3">
        <f>SUM(C33:L33)</f>
        <v/>
      </c>
    </row>
    <row r="34">
      <c r="A34" s="2" t="inlineStr">
        <is>
          <t>2026-10-26 16:00</t>
        </is>
      </c>
      <c r="B34" s="3" t="n">
        <v>7</v>
      </c>
      <c r="C34" s="3" t="n">
        <v>128</v>
      </c>
      <c r="D34" s="3" t="n">
        <v>114</v>
      </c>
      <c r="E34" s="3" t="n">
        <v>76</v>
      </c>
      <c r="F34" s="3" t="n">
        <v>133</v>
      </c>
      <c r="G34" s="3" t="n">
        <v>244</v>
      </c>
      <c r="H34" s="3" t="n">
        <v>134</v>
      </c>
      <c r="I34" s="3" t="n">
        <v>114</v>
      </c>
      <c r="J34" s="3" t="n">
        <v>130</v>
      </c>
      <c r="K34" s="3" t="n">
        <v>117</v>
      </c>
      <c r="L34" s="3" t="n"/>
      <c r="M34" s="3">
        <f>SUM(C34:L34)</f>
        <v/>
      </c>
    </row>
    <row r="35">
      <c r="A35" s="2" t="inlineStr">
        <is>
          <t>2026-10-26 17:00</t>
        </is>
      </c>
      <c r="B35" s="3" t="n">
        <v>7</v>
      </c>
      <c r="C35" s="3" t="n">
        <v>128</v>
      </c>
      <c r="D35" s="3" t="n">
        <v>114</v>
      </c>
      <c r="E35" s="3" t="n">
        <v>76</v>
      </c>
      <c r="F35" s="3" t="n">
        <v>133</v>
      </c>
      <c r="G35" s="3" t="n">
        <v>244</v>
      </c>
      <c r="H35" s="3" t="n">
        <v>134</v>
      </c>
      <c r="I35" s="3" t="n">
        <v>114</v>
      </c>
      <c r="J35" s="3" t="n">
        <v>130</v>
      </c>
      <c r="K35" s="3" t="n">
        <v>117</v>
      </c>
      <c r="L35" s="3" t="n"/>
      <c r="M35" s="3">
        <f>SUM(C35:L35)</f>
        <v/>
      </c>
    </row>
    <row r="36">
      <c r="A36" s="2" t="inlineStr">
        <is>
          <t>2026-10-26 18:00</t>
        </is>
      </c>
      <c r="B36" s="3" t="n">
        <v>7</v>
      </c>
      <c r="C36" s="3" t="n">
        <v>128</v>
      </c>
      <c r="D36" s="3" t="n">
        <v>114</v>
      </c>
      <c r="E36" s="3" t="n">
        <v>76</v>
      </c>
      <c r="F36" s="3" t="n">
        <v>133</v>
      </c>
      <c r="G36" s="3" t="n">
        <v>244</v>
      </c>
      <c r="H36" s="3" t="n">
        <v>134</v>
      </c>
      <c r="I36" s="3" t="n">
        <v>114</v>
      </c>
      <c r="J36" s="3" t="n">
        <v>130</v>
      </c>
      <c r="K36" s="3" t="n">
        <v>117</v>
      </c>
      <c r="L36" s="3" t="n"/>
      <c r="M36" s="3">
        <f>SUM(C36:L36)</f>
        <v/>
      </c>
    </row>
    <row r="37">
      <c r="A37" s="2" t="inlineStr">
        <is>
          <t>2026-10-26 19:00</t>
        </is>
      </c>
      <c r="B37" s="3" t="n">
        <v>7</v>
      </c>
      <c r="C37" s="3" t="n">
        <v>128</v>
      </c>
      <c r="D37" s="3" t="n">
        <v>114</v>
      </c>
      <c r="E37" s="3" t="n">
        <v>76</v>
      </c>
      <c r="F37" s="3" t="n">
        <v>133</v>
      </c>
      <c r="G37" s="3" t="n">
        <v>244</v>
      </c>
      <c r="H37" s="3" t="n">
        <v>134</v>
      </c>
      <c r="I37" s="3" t="n">
        <v>114</v>
      </c>
      <c r="J37" s="3" t="n">
        <v>130</v>
      </c>
      <c r="K37" s="3" t="n">
        <v>117</v>
      </c>
      <c r="L37" s="3" t="n"/>
      <c r="M37" s="3">
        <f>SUM(C37:L37)</f>
        <v/>
      </c>
    </row>
    <row r="38">
      <c r="A38" s="2" t="inlineStr">
        <is>
          <t>2026-10-26 20:00</t>
        </is>
      </c>
      <c r="B38" s="3" t="n">
        <v>7</v>
      </c>
      <c r="C38" s="3" t="n">
        <v>128</v>
      </c>
      <c r="D38" s="3" t="n">
        <v>114</v>
      </c>
      <c r="E38" s="3" t="n">
        <v>76</v>
      </c>
      <c r="F38" s="3" t="n">
        <v>133</v>
      </c>
      <c r="G38" s="3" t="n">
        <v>244</v>
      </c>
      <c r="H38" s="3" t="n">
        <v>134</v>
      </c>
      <c r="I38" s="3" t="n">
        <v>114</v>
      </c>
      <c r="J38" s="3" t="n">
        <v>130</v>
      </c>
      <c r="K38" s="3" t="n">
        <v>117</v>
      </c>
      <c r="L38" s="3" t="n"/>
      <c r="M38" s="3">
        <f>SUM(C38:L38)</f>
        <v/>
      </c>
    </row>
    <row r="39">
      <c r="A39" s="2" t="inlineStr">
        <is>
          <t>2026-10-26 21:00</t>
        </is>
      </c>
      <c r="B39" s="3" t="n">
        <v>7</v>
      </c>
      <c r="C39" s="3" t="n">
        <v>128</v>
      </c>
      <c r="D39" s="3" t="n">
        <v>114</v>
      </c>
      <c r="E39" s="3" t="n">
        <v>76</v>
      </c>
      <c r="F39" s="3" t="n">
        <v>133</v>
      </c>
      <c r="G39" s="3" t="n">
        <v>244</v>
      </c>
      <c r="H39" s="3" t="n">
        <v>134</v>
      </c>
      <c r="I39" s="3" t="n">
        <v>114</v>
      </c>
      <c r="J39" s="3" t="n">
        <v>130</v>
      </c>
      <c r="K39" s="3" t="n">
        <v>117</v>
      </c>
      <c r="L39" s="3" t="n"/>
      <c r="M39" s="3">
        <f>SUM(C39:L39)</f>
        <v/>
      </c>
    </row>
    <row r="40">
      <c r="A40" s="2" t="inlineStr">
        <is>
          <t>2026-10-27 08:00</t>
        </is>
      </c>
      <c r="B40" s="3" t="n">
        <v>7</v>
      </c>
      <c r="C40" s="3" t="n">
        <v>128</v>
      </c>
      <c r="D40" s="3" t="n">
        <v>114</v>
      </c>
      <c r="E40" s="3" t="n">
        <v>76</v>
      </c>
      <c r="F40" s="3" t="n">
        <v>133</v>
      </c>
      <c r="G40" s="3" t="n">
        <v>244</v>
      </c>
      <c r="H40" s="3" t="n">
        <v>134</v>
      </c>
      <c r="I40" s="3" t="n">
        <v>114</v>
      </c>
      <c r="J40" s="3" t="n">
        <v>130</v>
      </c>
      <c r="K40" s="3" t="n">
        <v>118</v>
      </c>
      <c r="L40" s="3" t="n">
        <v>0</v>
      </c>
      <c r="M40" s="3">
        <f>SUM(C40:L40)</f>
        <v/>
      </c>
    </row>
    <row r="41">
      <c r="A41" s="2" t="inlineStr">
        <is>
          <t>2026-10-27 09:00</t>
        </is>
      </c>
      <c r="B41" s="3" t="n">
        <v>7</v>
      </c>
      <c r="C41" s="3" t="n">
        <v>128</v>
      </c>
      <c r="D41" s="3" t="n">
        <v>114</v>
      </c>
      <c r="E41" s="3" t="n">
        <v>76</v>
      </c>
      <c r="F41" s="3" t="n">
        <v>133</v>
      </c>
      <c r="G41" s="3" t="n">
        <v>244</v>
      </c>
      <c r="H41" s="3" t="n">
        <v>134</v>
      </c>
      <c r="I41" s="3" t="n">
        <v>114</v>
      </c>
      <c r="J41" s="3" t="n">
        <v>130</v>
      </c>
      <c r="K41" s="3" t="n">
        <v>118</v>
      </c>
      <c r="L41" s="3" t="n">
        <v>46</v>
      </c>
      <c r="M41" s="3">
        <f>SUM(C41:L41)</f>
        <v/>
      </c>
    </row>
    <row r="42">
      <c r="A42" s="2" t="inlineStr">
        <is>
          <t>2026-10-27 10:00</t>
        </is>
      </c>
      <c r="B42" s="3" t="n">
        <v>7</v>
      </c>
      <c r="C42" s="3" t="n">
        <v>128</v>
      </c>
      <c r="D42" s="3" t="n">
        <v>114</v>
      </c>
      <c r="E42" s="3" t="n">
        <v>76</v>
      </c>
      <c r="F42" s="3" t="n">
        <v>133</v>
      </c>
      <c r="G42" s="3" t="n">
        <v>244</v>
      </c>
      <c r="H42" s="3" t="n">
        <v>134</v>
      </c>
      <c r="I42" s="3" t="n">
        <v>114</v>
      </c>
      <c r="J42" s="3" t="n">
        <v>130</v>
      </c>
      <c r="K42" s="3" t="n">
        <v>118</v>
      </c>
      <c r="L42" s="3" t="n">
        <v>77</v>
      </c>
      <c r="M42" s="3">
        <f>SUM(C42:L42)</f>
        <v/>
      </c>
    </row>
    <row r="43">
      <c r="A43" s="2" t="inlineStr">
        <is>
          <t>2026-10-27 11:00</t>
        </is>
      </c>
      <c r="B43" s="3" t="n">
        <v>7</v>
      </c>
      <c r="C43" s="3" t="n">
        <v>128</v>
      </c>
      <c r="D43" s="3" t="n">
        <v>114</v>
      </c>
      <c r="E43" s="3" t="n">
        <v>76</v>
      </c>
      <c r="F43" s="3" t="n">
        <v>133</v>
      </c>
      <c r="G43" s="3" t="n">
        <v>244</v>
      </c>
      <c r="H43" s="3" t="n">
        <v>134</v>
      </c>
      <c r="I43" s="3" t="n">
        <v>114</v>
      </c>
      <c r="J43" s="3" t="n">
        <v>130</v>
      </c>
      <c r="K43" s="3" t="n">
        <v>118</v>
      </c>
      <c r="L43" s="3" t="n">
        <v>83</v>
      </c>
      <c r="M43" s="3">
        <f>SUM(C43:L43)</f>
        <v/>
      </c>
    </row>
    <row r="44">
      <c r="A44" s="2" t="inlineStr">
        <is>
          <t>2026-10-27 12:00</t>
        </is>
      </c>
      <c r="B44" s="3" t="n">
        <v>7</v>
      </c>
      <c r="C44" s="3" t="n">
        <v>128</v>
      </c>
      <c r="D44" s="3" t="n">
        <v>114</v>
      </c>
      <c r="E44" s="3" t="n">
        <v>76</v>
      </c>
      <c r="F44" s="3" t="n">
        <v>133</v>
      </c>
      <c r="G44" s="3" t="n">
        <v>244</v>
      </c>
      <c r="H44" s="3" t="n">
        <v>134</v>
      </c>
      <c r="I44" s="3" t="n">
        <v>114</v>
      </c>
      <c r="J44" s="3" t="n">
        <v>130</v>
      </c>
      <c r="K44" s="3" t="n">
        <v>118</v>
      </c>
      <c r="L44" s="3" t="n">
        <v>89</v>
      </c>
      <c r="M44" s="3">
        <f>SUM(C44:L44)</f>
        <v/>
      </c>
    </row>
    <row r="45">
      <c r="A45" s="2" t="inlineStr">
        <is>
          <t>2026-10-27 13:00</t>
        </is>
      </c>
      <c r="B45" s="3" t="n">
        <v>7</v>
      </c>
      <c r="C45" s="3" t="n">
        <v>128</v>
      </c>
      <c r="D45" s="3" t="n">
        <v>114</v>
      </c>
      <c r="E45" s="3" t="n">
        <v>76</v>
      </c>
      <c r="F45" s="3" t="n">
        <v>133</v>
      </c>
      <c r="G45" s="3" t="n">
        <v>244</v>
      </c>
      <c r="H45" s="3" t="n">
        <v>134</v>
      </c>
      <c r="I45" s="3" t="n">
        <v>114</v>
      </c>
      <c r="J45" s="3" t="n">
        <v>130</v>
      </c>
      <c r="K45" s="3" t="n">
        <v>118</v>
      </c>
      <c r="L45" s="3" t="n">
        <v>91</v>
      </c>
      <c r="M45" s="3">
        <f>SUM(C45:L45)</f>
        <v/>
      </c>
    </row>
    <row r="46">
      <c r="A46" s="2" t="inlineStr">
        <is>
          <t>2026-10-27 14:00</t>
        </is>
      </c>
      <c r="B46" s="3" t="n">
        <v>7</v>
      </c>
      <c r="C46" s="3" t="n">
        <v>128</v>
      </c>
      <c r="D46" s="3" t="n">
        <v>114</v>
      </c>
      <c r="E46" s="3" t="n">
        <v>76</v>
      </c>
      <c r="F46" s="3" t="n">
        <v>133</v>
      </c>
      <c r="G46" s="3" t="n">
        <v>244</v>
      </c>
      <c r="H46" s="3" t="n">
        <v>134</v>
      </c>
      <c r="I46" s="3" t="n">
        <v>114</v>
      </c>
      <c r="J46" s="3" t="n">
        <v>130</v>
      </c>
      <c r="K46" s="3" t="n">
        <v>118</v>
      </c>
      <c r="L46" s="3" t="n">
        <v>92</v>
      </c>
      <c r="M46" s="3">
        <f>SUM(C46:L46)</f>
        <v/>
      </c>
    </row>
    <row r="47">
      <c r="A47" s="2" t="inlineStr">
        <is>
          <t>2026-10-27 15:00</t>
        </is>
      </c>
      <c r="B47" s="3" t="n">
        <v>7</v>
      </c>
      <c r="C47" s="3" t="n">
        <v>128</v>
      </c>
      <c r="D47" s="3" t="n">
        <v>114</v>
      </c>
      <c r="E47" s="3" t="n">
        <v>76</v>
      </c>
      <c r="F47" s="3" t="n">
        <v>133</v>
      </c>
      <c r="G47" s="3" t="n">
        <v>244</v>
      </c>
      <c r="H47" s="3" t="n">
        <v>134</v>
      </c>
      <c r="I47" s="3" t="n">
        <v>114</v>
      </c>
      <c r="J47" s="3" t="n">
        <v>130</v>
      </c>
      <c r="K47" s="3" t="n">
        <v>118</v>
      </c>
      <c r="L47" s="3" t="n">
        <v>92</v>
      </c>
      <c r="M47" s="3">
        <f>SUM(C47:L47)</f>
        <v/>
      </c>
    </row>
    <row r="48">
      <c r="A48" s="2" t="inlineStr">
        <is>
          <t>2026-10-27 16:00</t>
        </is>
      </c>
      <c r="B48" s="3" t="n">
        <v>7</v>
      </c>
      <c r="C48" s="3" t="n">
        <v>128</v>
      </c>
      <c r="D48" s="3" t="n">
        <v>114</v>
      </c>
      <c r="E48" s="3" t="n">
        <v>76</v>
      </c>
      <c r="F48" s="3" t="n">
        <v>133</v>
      </c>
      <c r="G48" s="3" t="n">
        <v>244</v>
      </c>
      <c r="H48" s="3" t="n">
        <v>134</v>
      </c>
      <c r="I48" s="3" t="n">
        <v>114</v>
      </c>
      <c r="J48" s="3" t="n">
        <v>130</v>
      </c>
      <c r="K48" s="3" t="n">
        <v>118</v>
      </c>
      <c r="L48" s="3" t="n">
        <v>92</v>
      </c>
      <c r="M48" s="3">
        <f>SUM(C48:L48)</f>
        <v/>
      </c>
    </row>
    <row r="49">
      <c r="A49" s="2" t="inlineStr">
        <is>
          <t>2026-10-27 17:00</t>
        </is>
      </c>
      <c r="B49" s="3" t="n">
        <v>7</v>
      </c>
      <c r="C49" s="3" t="n">
        <v>128</v>
      </c>
      <c r="D49" s="3" t="n">
        <v>114</v>
      </c>
      <c r="E49" s="3" t="n">
        <v>76</v>
      </c>
      <c r="F49" s="3" t="n">
        <v>133</v>
      </c>
      <c r="G49" s="3" t="n">
        <v>244</v>
      </c>
      <c r="H49" s="3" t="n">
        <v>134</v>
      </c>
      <c r="I49" s="3" t="n">
        <v>114</v>
      </c>
      <c r="J49" s="3" t="n">
        <v>130</v>
      </c>
      <c r="K49" s="3" t="n">
        <v>118</v>
      </c>
      <c r="L49" s="3" t="n">
        <v>94</v>
      </c>
      <c r="M49" s="3">
        <f>SUM(C49:L49)</f>
        <v/>
      </c>
    </row>
    <row r="50">
      <c r="A50" s="2" t="inlineStr">
        <is>
          <t>2026-10-27 18:00</t>
        </is>
      </c>
      <c r="B50" s="3" t="n">
        <v>7</v>
      </c>
      <c r="C50" s="3" t="n">
        <v>128</v>
      </c>
      <c r="D50" s="3" t="n">
        <v>114</v>
      </c>
      <c r="E50" s="3" t="n">
        <v>76</v>
      </c>
      <c r="F50" s="3" t="n">
        <v>133</v>
      </c>
      <c r="G50" s="3" t="n">
        <v>244</v>
      </c>
      <c r="H50" s="3" t="n">
        <v>134</v>
      </c>
      <c r="I50" s="3" t="n">
        <v>114</v>
      </c>
      <c r="J50" s="3" t="n">
        <v>130</v>
      </c>
      <c r="K50" s="3" t="n">
        <v>118</v>
      </c>
      <c r="L50" s="3" t="n">
        <v>95</v>
      </c>
      <c r="M50" s="3">
        <f>SUM(C50:L50)</f>
        <v/>
      </c>
    </row>
    <row r="51">
      <c r="A51" s="2" t="inlineStr">
        <is>
          <t>2026-10-27 19:00</t>
        </is>
      </c>
      <c r="B51" s="3" t="n">
        <v>7</v>
      </c>
      <c r="C51" s="3" t="n">
        <v>128</v>
      </c>
      <c r="D51" s="3" t="n">
        <v>114</v>
      </c>
      <c r="E51" s="3" t="n">
        <v>76</v>
      </c>
      <c r="F51" s="3" t="n">
        <v>133</v>
      </c>
      <c r="G51" s="3" t="n">
        <v>244</v>
      </c>
      <c r="H51" s="3" t="n">
        <v>134</v>
      </c>
      <c r="I51" s="3" t="n">
        <v>114</v>
      </c>
      <c r="J51" s="3" t="n">
        <v>130</v>
      </c>
      <c r="K51" s="3" t="n">
        <v>118</v>
      </c>
      <c r="L51" s="3" t="n">
        <v>95</v>
      </c>
      <c r="M51" s="3">
        <f>SUM(C51:L51)</f>
        <v/>
      </c>
    </row>
    <row r="52">
      <c r="A52" s="2" t="inlineStr">
        <is>
          <t>2026-10-27 20:00</t>
        </is>
      </c>
      <c r="B52" s="3" t="n">
        <v>7</v>
      </c>
      <c r="C52" s="3" t="n">
        <v>128</v>
      </c>
      <c r="D52" s="3" t="n">
        <v>114</v>
      </c>
      <c r="E52" s="3" t="n">
        <v>76</v>
      </c>
      <c r="F52" s="3" t="n">
        <v>133</v>
      </c>
      <c r="G52" s="3" t="n">
        <v>244</v>
      </c>
      <c r="H52" s="3" t="n">
        <v>134</v>
      </c>
      <c r="I52" s="3" t="n">
        <v>114</v>
      </c>
      <c r="J52" s="3" t="n">
        <v>130</v>
      </c>
      <c r="K52" s="3" t="n">
        <v>118</v>
      </c>
      <c r="L52" s="3" t="n">
        <v>98</v>
      </c>
      <c r="M52" s="3">
        <f>SUM(C52:L52)</f>
        <v/>
      </c>
    </row>
    <row r="53">
      <c r="A53" s="2" t="inlineStr">
        <is>
          <t>2026-10-27 21:00</t>
        </is>
      </c>
      <c r="B53" s="3" t="n">
        <v>7</v>
      </c>
      <c r="C53" s="3" t="n">
        <v>128</v>
      </c>
      <c r="D53" s="3" t="n">
        <v>114</v>
      </c>
      <c r="E53" s="3" t="n">
        <v>76</v>
      </c>
      <c r="F53" s="3" t="n">
        <v>133</v>
      </c>
      <c r="G53" s="3" t="n">
        <v>244</v>
      </c>
      <c r="H53" s="3" t="n">
        <v>134</v>
      </c>
      <c r="I53" s="3" t="n">
        <v>114</v>
      </c>
      <c r="J53" s="3" t="n">
        <v>130</v>
      </c>
      <c r="K53" s="3" t="n">
        <v>118</v>
      </c>
      <c r="L53" s="3" t="n">
        <v>98</v>
      </c>
      <c r="M53" s="3">
        <f>SUM(C53:L53)</f>
        <v/>
      </c>
    </row>
    <row r="54">
      <c r="A54" s="2" t="inlineStr">
        <is>
          <t>2026-10-27 22:00</t>
        </is>
      </c>
      <c r="B54" s="3" t="n">
        <v>7</v>
      </c>
      <c r="C54" s="3" t="n">
        <v>128</v>
      </c>
      <c r="D54" s="3" t="n">
        <v>114</v>
      </c>
      <c r="E54" s="3" t="n">
        <v>76</v>
      </c>
      <c r="F54" s="3" t="n">
        <v>133</v>
      </c>
      <c r="G54" s="3" t="n">
        <v>244</v>
      </c>
      <c r="H54" s="3" t="n">
        <v>134</v>
      </c>
      <c r="I54" s="3" t="n">
        <v>114</v>
      </c>
      <c r="J54" s="3" t="n">
        <v>130</v>
      </c>
      <c r="K54" s="3" t="n">
        <v>118</v>
      </c>
      <c r="L54" s="3" t="n">
        <v>105</v>
      </c>
      <c r="M54" s="3">
        <f>SUM(C54:L54)</f>
        <v/>
      </c>
    </row>
    <row r="55">
      <c r="A55" s="2" t="inlineStr">
        <is>
          <t>2026-10-27 23:00</t>
        </is>
      </c>
      <c r="B55" s="3" t="n">
        <v>7</v>
      </c>
      <c r="C55" s="3" t="n">
        <v>128</v>
      </c>
      <c r="D55" s="3" t="n">
        <v>114</v>
      </c>
      <c r="E55" s="3" t="n">
        <v>76</v>
      </c>
      <c r="F55" s="3" t="n">
        <v>133</v>
      </c>
      <c r="G55" s="3" t="n">
        <v>244</v>
      </c>
      <c r="H55" s="3" t="n">
        <v>134</v>
      </c>
      <c r="I55" s="3" t="n">
        <v>114</v>
      </c>
      <c r="J55" s="3" t="n">
        <v>130</v>
      </c>
      <c r="K55" s="3" t="n">
        <v>118</v>
      </c>
      <c r="L55" s="3" t="n">
        <v>107</v>
      </c>
      <c r="M55" s="3">
        <f>SUM(C55:L55)</f>
        <v/>
      </c>
    </row>
    <row r="56">
      <c r="A56" s="2" t="inlineStr">
        <is>
          <t>2026-10-28 06:00</t>
        </is>
      </c>
      <c r="B56" s="3" t="n">
        <v>7</v>
      </c>
      <c r="C56" s="3" t="n">
        <v>128</v>
      </c>
      <c r="D56" s="3" t="n">
        <v>114</v>
      </c>
      <c r="E56" s="3" t="n">
        <v>76</v>
      </c>
      <c r="F56" s="3" t="n">
        <v>133</v>
      </c>
      <c r="G56" s="3" t="n">
        <v>244</v>
      </c>
      <c r="H56" s="3" t="n">
        <v>134</v>
      </c>
      <c r="I56" s="3" t="n">
        <v>114</v>
      </c>
      <c r="J56" s="3" t="n">
        <v>130</v>
      </c>
      <c r="K56" s="3" t="n">
        <v>118</v>
      </c>
      <c r="L56" s="3" t="n">
        <v>107</v>
      </c>
      <c r="M56" s="3">
        <f>SUM(C56:L56)</f>
        <v/>
      </c>
    </row>
    <row r="57">
      <c r="A57" s="2" t="inlineStr">
        <is>
          <t>2026-10-28 07:00</t>
        </is>
      </c>
      <c r="B57" s="3" t="n">
        <v>7</v>
      </c>
      <c r="C57" s="3" t="n">
        <v>128</v>
      </c>
      <c r="D57" s="3" t="n">
        <v>114</v>
      </c>
      <c r="E57" s="3" t="n">
        <v>76</v>
      </c>
      <c r="F57" s="3" t="n">
        <v>133</v>
      </c>
      <c r="G57" s="3" t="n">
        <v>244</v>
      </c>
      <c r="H57" s="3" t="n">
        <v>134</v>
      </c>
      <c r="I57" s="3" t="n">
        <v>114</v>
      </c>
      <c r="J57" s="3" t="n">
        <v>130</v>
      </c>
      <c r="K57" s="3" t="n">
        <v>118</v>
      </c>
      <c r="L57" s="3" t="n">
        <v>107</v>
      </c>
      <c r="M57" s="3">
        <f>SUM(C57:L57)</f>
        <v/>
      </c>
    </row>
    <row r="58">
      <c r="A58" s="2" t="inlineStr">
        <is>
          <t>2026-10-28 08:00</t>
        </is>
      </c>
      <c r="B58" s="3" t="n">
        <v>7</v>
      </c>
      <c r="C58" s="3" t="n">
        <v>128</v>
      </c>
      <c r="D58" s="3" t="n">
        <v>114</v>
      </c>
      <c r="E58" s="3" t="n">
        <v>76</v>
      </c>
      <c r="F58" s="3" t="n">
        <v>133</v>
      </c>
      <c r="G58" s="3" t="n">
        <v>244</v>
      </c>
      <c r="H58" s="3" t="n">
        <v>134</v>
      </c>
      <c r="I58" s="3" t="n">
        <v>114</v>
      </c>
      <c r="J58" s="3" t="n">
        <v>130</v>
      </c>
      <c r="K58" s="3" t="n">
        <v>118</v>
      </c>
      <c r="L58" s="3" t="n">
        <v>107</v>
      </c>
      <c r="M58" s="3">
        <f>SUM(C58:L58)</f>
        <v/>
      </c>
    </row>
    <row r="59">
      <c r="A59" s="2" t="inlineStr">
        <is>
          <t>2026-10-28 09:00</t>
        </is>
      </c>
      <c r="B59" s="3" t="n">
        <v>7</v>
      </c>
      <c r="C59" s="3" t="n">
        <v>128</v>
      </c>
      <c r="D59" s="3" t="n">
        <v>114</v>
      </c>
      <c r="E59" s="3" t="n">
        <v>76</v>
      </c>
      <c r="F59" s="3" t="n">
        <v>133</v>
      </c>
      <c r="G59" s="3" t="n">
        <v>244</v>
      </c>
      <c r="H59" s="3" t="n">
        <v>134</v>
      </c>
      <c r="I59" s="3" t="n">
        <v>114</v>
      </c>
      <c r="J59" s="3" t="n">
        <v>130</v>
      </c>
      <c r="K59" s="3" t="n">
        <v>118</v>
      </c>
      <c r="L59" s="3" t="n">
        <v>107</v>
      </c>
      <c r="M59" s="3">
        <f>SUM(C59:L59)</f>
        <v/>
      </c>
    </row>
    <row r="60">
      <c r="A60" s="2" t="inlineStr">
        <is>
          <t>2026-10-28 10:00</t>
        </is>
      </c>
      <c r="B60" s="3" t="n">
        <v>7</v>
      </c>
      <c r="C60" s="3" t="n">
        <v>128</v>
      </c>
      <c r="D60" s="3" t="n">
        <v>114</v>
      </c>
      <c r="E60" s="3" t="n">
        <v>76</v>
      </c>
      <c r="F60" s="3" t="n">
        <v>133</v>
      </c>
      <c r="G60" s="3" t="n">
        <v>244</v>
      </c>
      <c r="H60" s="3" t="n">
        <v>134</v>
      </c>
      <c r="I60" s="3" t="n">
        <v>114</v>
      </c>
      <c r="J60" s="3" t="n">
        <v>130</v>
      </c>
      <c r="K60" s="3" t="n">
        <v>118</v>
      </c>
      <c r="L60" s="3" t="n">
        <v>107</v>
      </c>
      <c r="M60" s="3">
        <f>SUM(C60:L60)</f>
        <v/>
      </c>
    </row>
    <row r="61">
      <c r="A61" s="2" t="inlineStr">
        <is>
          <t>2026-10-28 11:00</t>
        </is>
      </c>
      <c r="B61" s="3" t="n">
        <v>7</v>
      </c>
      <c r="C61" s="3" t="n">
        <v>128</v>
      </c>
      <c r="D61" s="3" t="n">
        <v>114</v>
      </c>
      <c r="E61" s="3" t="n">
        <v>76</v>
      </c>
      <c r="F61" s="3" t="n">
        <v>133</v>
      </c>
      <c r="G61" s="3" t="n">
        <v>244</v>
      </c>
      <c r="H61" s="3" t="n">
        <v>134</v>
      </c>
      <c r="I61" s="3" t="n">
        <v>114</v>
      </c>
      <c r="J61" s="3" t="n">
        <v>130</v>
      </c>
      <c r="K61" s="3" t="n">
        <v>118</v>
      </c>
      <c r="L61" s="3" t="n">
        <v>107</v>
      </c>
      <c r="M61" s="3">
        <f>SUM(C61:L61)</f>
        <v/>
      </c>
    </row>
    <row r="62">
      <c r="A62" s="2" t="inlineStr">
        <is>
          <t>2026-10-28 12:00</t>
        </is>
      </c>
      <c r="B62" s="3" t="n">
        <v>7</v>
      </c>
      <c r="C62" s="3" t="n">
        <v>128</v>
      </c>
      <c r="D62" s="3" t="n">
        <v>114</v>
      </c>
      <c r="E62" s="3" t="n">
        <v>76</v>
      </c>
      <c r="F62" s="3" t="n">
        <v>133</v>
      </c>
      <c r="G62" s="3" t="n">
        <v>244</v>
      </c>
      <c r="H62" s="3" t="n">
        <v>134</v>
      </c>
      <c r="I62" s="3" t="n">
        <v>114</v>
      </c>
      <c r="J62" s="3" t="n">
        <v>130</v>
      </c>
      <c r="K62" s="3" t="n">
        <v>118</v>
      </c>
      <c r="L62" s="3" t="n">
        <v>107</v>
      </c>
      <c r="M62" s="3">
        <f>SUM(C62:L62)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2" customWidth="1" min="12" max="12"/>
  </cols>
  <sheetData>
    <row r="1" ht="32" customHeight="1">
      <c r="A1" s="1" t="inlineStr">
        <is>
          <t>Heure</t>
        </is>
      </c>
      <c r="B1" s="1" t="inlineStr">
        <is>
          <t>10-21 À toi de juger : taxer</t>
        </is>
      </c>
      <c r="C1" s="1" t="inlineStr">
        <is>
          <t>10-21 Gel des pensions : oui</t>
        </is>
      </c>
      <c r="D1" s="1" t="inlineStr">
        <is>
          <t>10-22 Couper les réseaux soc</t>
        </is>
      </c>
      <c r="E1" s="1" t="inlineStr">
        <is>
          <t>10-24 À toi de juger : il fa</t>
        </is>
      </c>
      <c r="F1" s="1" t="inlineStr">
        <is>
          <t>10-24 « Oui, nous avons perd</t>
        </is>
      </c>
      <c r="G1" s="1" t="inlineStr">
        <is>
          <t>10-24 Cinq infos de la semai</t>
        </is>
      </c>
      <c r="H1" s="1" t="inlineStr">
        <is>
          <t>10-25 Des millions publics p</t>
        </is>
      </c>
      <c r="I1" s="1" t="inlineStr">
        <is>
          <t>10-25 Vendredi, Macron au co</t>
        </is>
      </c>
      <c r="J1" s="1" t="inlineStr">
        <is>
          <t xml:space="preserve">10-25 2 513 gardes à vue et </t>
        </is>
      </c>
      <c r="K1" s="1" t="inlineStr">
        <is>
          <t>10-27 54 milliards d'efforts</t>
        </is>
      </c>
      <c r="L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 t="inlineStr"/>
      <c r="F2" s="3" t="inlineStr"/>
      <c r="G2" s="3" t="inlineStr"/>
      <c r="H2" s="3" t="inlineStr"/>
      <c r="I2" s="3" t="inlineStr"/>
      <c r="J2" s="3" t="inlineStr"/>
      <c r="K2" s="3" t="inlineStr"/>
      <c r="L2" s="3">
        <f>SUM(B2:K2)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IF('Heure par heure'!F3="","",'Heure par heure'!F3-N('Heure par heure'!F2))</f>
        <v/>
      </c>
      <c r="F3" s="3">
        <f>IF('Heure par heure'!G3="","",'Heure par heure'!G3-N('Heure par heure'!G2))</f>
        <v/>
      </c>
      <c r="G3" s="3">
        <f>IF('Heure par heure'!H3="","",'Heure par heure'!H3-N('Heure par heure'!H2))</f>
        <v/>
      </c>
      <c r="H3" s="3">
        <f>IF('Heure par heure'!I3="","",'Heure par heure'!I3-N('Heure par heure'!I2))</f>
        <v/>
      </c>
      <c r="I3" s="3">
        <f>IF('Heure par heure'!J3="","",'Heure par heure'!J3-N('Heure par heure'!J2))</f>
        <v/>
      </c>
      <c r="J3" s="3">
        <f>IF('Heure par heure'!K3="","",'Heure par heure'!K3-N('Heure par heure'!K2))</f>
        <v/>
      </c>
      <c r="K3" s="3">
        <f>IF('Heure par heure'!L3="","",'Heure par heure'!L3-N('Heure par heure'!L2))</f>
        <v/>
      </c>
      <c r="L3" s="3">
        <f>SUM(B3:K3)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IF('Heure par heure'!F4="","",'Heure par heure'!F4-N('Heure par heure'!F3))</f>
        <v/>
      </c>
      <c r="F4" s="3">
        <f>IF('Heure par heure'!G4="","",'Heure par heure'!G4-N('Heure par heure'!G3))</f>
        <v/>
      </c>
      <c r="G4" s="3">
        <f>IF('Heure par heure'!H4="","",'Heure par heure'!H4-N('Heure par heure'!H3))</f>
        <v/>
      </c>
      <c r="H4" s="3">
        <f>IF('Heure par heure'!I4="","",'Heure par heure'!I4-N('Heure par heure'!I3))</f>
        <v/>
      </c>
      <c r="I4" s="3">
        <f>IF('Heure par heure'!J4="","",'Heure par heure'!J4-N('Heure par heure'!J3))</f>
        <v/>
      </c>
      <c r="J4" s="3">
        <f>IF('Heure par heure'!K4="","",'Heure par heure'!K4-N('Heure par heure'!K3))</f>
        <v/>
      </c>
      <c r="K4" s="3">
        <f>IF('Heure par heure'!L4="","",'Heure par heure'!L4-N('Heure par heure'!L3))</f>
        <v/>
      </c>
      <c r="L4" s="3">
        <f>SUM(B4:K4)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IF('Heure par heure'!F5="","",'Heure par heure'!F5-N('Heure par heure'!F4))</f>
        <v/>
      </c>
      <c r="F5" s="3">
        <f>IF('Heure par heure'!G5="","",'Heure par heure'!G5-N('Heure par heure'!G4))</f>
        <v/>
      </c>
      <c r="G5" s="3">
        <f>IF('Heure par heure'!H5="","",'Heure par heure'!H5-N('Heure par heure'!H4))</f>
        <v/>
      </c>
      <c r="H5" s="3">
        <f>IF('Heure par heure'!I5="","",'Heure par heure'!I5-N('Heure par heure'!I4))</f>
        <v/>
      </c>
      <c r="I5" s="3">
        <f>IF('Heure par heure'!J5="","",'Heure par heure'!J5-N('Heure par heure'!J4))</f>
        <v/>
      </c>
      <c r="J5" s="3">
        <f>IF('Heure par heure'!K5="","",'Heure par heure'!K5-N('Heure par heure'!K4))</f>
        <v/>
      </c>
      <c r="K5" s="3">
        <f>IF('Heure par heure'!L5="","",'Heure par heure'!L5-N('Heure par heure'!L4))</f>
        <v/>
      </c>
      <c r="L5" s="3">
        <f>SUM(B5:K5)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IF('Heure par heure'!F6="","",'Heure par heure'!F6-N('Heure par heure'!F5))</f>
        <v/>
      </c>
      <c r="F6" s="3">
        <f>IF('Heure par heure'!G6="","",'Heure par heure'!G6-N('Heure par heure'!G5))</f>
        <v/>
      </c>
      <c r="G6" s="3">
        <f>IF('Heure par heure'!H6="","",'Heure par heure'!H6-N('Heure par heure'!H5))</f>
        <v/>
      </c>
      <c r="H6" s="3">
        <f>IF('Heure par heure'!I6="","",'Heure par heure'!I6-N('Heure par heure'!I5))</f>
        <v/>
      </c>
      <c r="I6" s="3">
        <f>IF('Heure par heure'!J6="","",'Heure par heure'!J6-N('Heure par heure'!J5))</f>
        <v/>
      </c>
      <c r="J6" s="3">
        <f>IF('Heure par heure'!K6="","",'Heure par heure'!K6-N('Heure par heure'!K5))</f>
        <v/>
      </c>
      <c r="K6" s="3">
        <f>IF('Heure par heure'!L6="","",'Heure par heure'!L6-N('Heure par heure'!L5))</f>
        <v/>
      </c>
      <c r="L6" s="3">
        <f>SUM(B6:K6)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IF('Heure par heure'!F7="","",'Heure par heure'!F7-N('Heure par heure'!F6))</f>
        <v/>
      </c>
      <c r="F7" s="3">
        <f>IF('Heure par heure'!G7="","",'Heure par heure'!G7-N('Heure par heure'!G6))</f>
        <v/>
      </c>
      <c r="G7" s="3">
        <f>IF('Heure par heure'!H7="","",'Heure par heure'!H7-N('Heure par heure'!H6))</f>
        <v/>
      </c>
      <c r="H7" s="3">
        <f>IF('Heure par heure'!I7="","",'Heure par heure'!I7-N('Heure par heure'!I6))</f>
        <v/>
      </c>
      <c r="I7" s="3">
        <f>IF('Heure par heure'!J7="","",'Heure par heure'!J7-N('Heure par heure'!J6))</f>
        <v/>
      </c>
      <c r="J7" s="3">
        <f>IF('Heure par heure'!K7="","",'Heure par heure'!K7-N('Heure par heure'!K6))</f>
        <v/>
      </c>
      <c r="K7" s="3">
        <f>IF('Heure par heure'!L7="","",'Heure par heure'!L7-N('Heure par heure'!L6))</f>
        <v/>
      </c>
      <c r="L7" s="3">
        <f>SUM(B7:K7)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IF('Heure par heure'!F8="","",'Heure par heure'!F8-N('Heure par heure'!F7))</f>
        <v/>
      </c>
      <c r="F8" s="3">
        <f>IF('Heure par heure'!G8="","",'Heure par heure'!G8-N('Heure par heure'!G7))</f>
        <v/>
      </c>
      <c r="G8" s="3">
        <f>IF('Heure par heure'!H8="","",'Heure par heure'!H8-N('Heure par heure'!H7))</f>
        <v/>
      </c>
      <c r="H8" s="3">
        <f>IF('Heure par heure'!I8="","",'Heure par heure'!I8-N('Heure par heure'!I7))</f>
        <v/>
      </c>
      <c r="I8" s="3">
        <f>IF('Heure par heure'!J8="","",'Heure par heure'!J8-N('Heure par heure'!J7))</f>
        <v/>
      </c>
      <c r="J8" s="3">
        <f>IF('Heure par heure'!K8="","",'Heure par heure'!K8-N('Heure par heure'!K7))</f>
        <v/>
      </c>
      <c r="K8" s="3">
        <f>IF('Heure par heure'!L8="","",'Heure par heure'!L8-N('Heure par heure'!L7))</f>
        <v/>
      </c>
      <c r="L8" s="3">
        <f>SUM(B8:K8)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IF('Heure par heure'!F9="","",'Heure par heure'!F9-N('Heure par heure'!F8))</f>
        <v/>
      </c>
      <c r="F9" s="3">
        <f>IF('Heure par heure'!G9="","",'Heure par heure'!G9-N('Heure par heure'!G8))</f>
        <v/>
      </c>
      <c r="G9" s="3">
        <f>IF('Heure par heure'!H9="","",'Heure par heure'!H9-N('Heure par heure'!H8))</f>
        <v/>
      </c>
      <c r="H9" s="3">
        <f>IF('Heure par heure'!I9="","",'Heure par heure'!I9-N('Heure par heure'!I8))</f>
        <v/>
      </c>
      <c r="I9" s="3">
        <f>IF('Heure par heure'!J9="","",'Heure par heure'!J9-N('Heure par heure'!J8))</f>
        <v/>
      </c>
      <c r="J9" s="3">
        <f>IF('Heure par heure'!K9="","",'Heure par heure'!K9-N('Heure par heure'!K8))</f>
        <v/>
      </c>
      <c r="K9" s="3">
        <f>IF('Heure par heure'!L9="","",'Heure par heure'!L9-N('Heure par heure'!L8))</f>
        <v/>
      </c>
      <c r="L9" s="3">
        <f>SUM(B9:K9)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IF('Heure par heure'!F10="","",'Heure par heure'!F10-N('Heure par heure'!F9))</f>
        <v/>
      </c>
      <c r="F10" s="3">
        <f>IF('Heure par heure'!G10="","",'Heure par heure'!G10-N('Heure par heure'!G9))</f>
        <v/>
      </c>
      <c r="G10" s="3">
        <f>IF('Heure par heure'!H10="","",'Heure par heure'!H10-N('Heure par heure'!H9))</f>
        <v/>
      </c>
      <c r="H10" s="3">
        <f>IF('Heure par heure'!I10="","",'Heure par heure'!I10-N('Heure par heure'!I9))</f>
        <v/>
      </c>
      <c r="I10" s="3">
        <f>IF('Heure par heure'!J10="","",'Heure par heure'!J10-N('Heure par heure'!J9))</f>
        <v/>
      </c>
      <c r="J10" s="3">
        <f>IF('Heure par heure'!K10="","",'Heure par heure'!K10-N('Heure par heure'!K9))</f>
        <v/>
      </c>
      <c r="K10" s="3">
        <f>IF('Heure par heure'!L10="","",'Heure par heure'!L10-N('Heure par heure'!L9))</f>
        <v/>
      </c>
      <c r="L10" s="3">
        <f>SUM(B10:K10)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IF('Heure par heure'!F11="","",'Heure par heure'!F11-N('Heure par heure'!F10))</f>
        <v/>
      </c>
      <c r="F11" s="3">
        <f>IF('Heure par heure'!G11="","",'Heure par heure'!G11-N('Heure par heure'!G10))</f>
        <v/>
      </c>
      <c r="G11" s="3">
        <f>IF('Heure par heure'!H11="","",'Heure par heure'!H11-N('Heure par heure'!H10))</f>
        <v/>
      </c>
      <c r="H11" s="3">
        <f>IF('Heure par heure'!I11="","",'Heure par heure'!I11-N('Heure par heure'!I10))</f>
        <v/>
      </c>
      <c r="I11" s="3">
        <f>IF('Heure par heure'!J11="","",'Heure par heure'!J11-N('Heure par heure'!J10))</f>
        <v/>
      </c>
      <c r="J11" s="3">
        <f>IF('Heure par heure'!K11="","",'Heure par heure'!K11-N('Heure par heure'!K10))</f>
        <v/>
      </c>
      <c r="K11" s="3">
        <f>IF('Heure par heure'!L11="","",'Heure par heure'!L11-N('Heure par heure'!L10))</f>
        <v/>
      </c>
      <c r="L11" s="3">
        <f>SUM(B11:K11)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IF('Heure par heure'!F12="","",'Heure par heure'!F12-N('Heure par heure'!F11))</f>
        <v/>
      </c>
      <c r="F12" s="3">
        <f>IF('Heure par heure'!G12="","",'Heure par heure'!G12-N('Heure par heure'!G11))</f>
        <v/>
      </c>
      <c r="G12" s="3">
        <f>IF('Heure par heure'!H12="","",'Heure par heure'!H12-N('Heure par heure'!H11))</f>
        <v/>
      </c>
      <c r="H12" s="3">
        <f>IF('Heure par heure'!I12="","",'Heure par heure'!I12-N('Heure par heure'!I11))</f>
        <v/>
      </c>
      <c r="I12" s="3">
        <f>IF('Heure par heure'!J12="","",'Heure par heure'!J12-N('Heure par heure'!J11))</f>
        <v/>
      </c>
      <c r="J12" s="3">
        <f>IF('Heure par heure'!K12="","",'Heure par heure'!K12-N('Heure par heure'!K11))</f>
        <v/>
      </c>
      <c r="K12" s="3">
        <f>IF('Heure par heure'!L12="","",'Heure par heure'!L12-N('Heure par heure'!L11))</f>
        <v/>
      </c>
      <c r="L12" s="3">
        <f>SUM(B12:K12)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IF('Heure par heure'!F13="","",'Heure par heure'!F13-N('Heure par heure'!F12))</f>
        <v/>
      </c>
      <c r="F13" s="3">
        <f>IF('Heure par heure'!G13="","",'Heure par heure'!G13-N('Heure par heure'!G12))</f>
        <v/>
      </c>
      <c r="G13" s="3">
        <f>IF('Heure par heure'!H13="","",'Heure par heure'!H13-N('Heure par heure'!H12))</f>
        <v/>
      </c>
      <c r="H13" s="3">
        <f>IF('Heure par heure'!I13="","",'Heure par heure'!I13-N('Heure par heure'!I12))</f>
        <v/>
      </c>
      <c r="I13" s="3">
        <f>IF('Heure par heure'!J13="","",'Heure par heure'!J13-N('Heure par heure'!J12))</f>
        <v/>
      </c>
      <c r="J13" s="3">
        <f>IF('Heure par heure'!K13="","",'Heure par heure'!K13-N('Heure par heure'!K12))</f>
        <v/>
      </c>
      <c r="K13" s="3">
        <f>IF('Heure par heure'!L13="","",'Heure par heure'!L13-N('Heure par heure'!L12))</f>
        <v/>
      </c>
      <c r="L13" s="3">
        <f>SUM(B13:K13)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IF('Heure par heure'!F14="","",'Heure par heure'!F14-N('Heure par heure'!F13))</f>
        <v/>
      </c>
      <c r="F14" s="3">
        <f>IF('Heure par heure'!G14="","",'Heure par heure'!G14-N('Heure par heure'!G13))</f>
        <v/>
      </c>
      <c r="G14" s="3">
        <f>IF('Heure par heure'!H14="","",'Heure par heure'!H14-N('Heure par heure'!H13))</f>
        <v/>
      </c>
      <c r="H14" s="3">
        <f>IF('Heure par heure'!I14="","",'Heure par heure'!I14-N('Heure par heure'!I13))</f>
        <v/>
      </c>
      <c r="I14" s="3">
        <f>IF('Heure par heure'!J14="","",'Heure par heure'!J14-N('Heure par heure'!J13))</f>
        <v/>
      </c>
      <c r="J14" s="3">
        <f>IF('Heure par heure'!K14="","",'Heure par heure'!K14-N('Heure par heure'!K13))</f>
        <v/>
      </c>
      <c r="K14" s="3">
        <f>IF('Heure par heure'!L14="","",'Heure par heure'!L14-N('Heure par heure'!L13))</f>
        <v/>
      </c>
      <c r="L14" s="3">
        <f>SUM(B14:K14)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IF('Heure par heure'!F15="","",'Heure par heure'!F15-N('Heure par heure'!F14))</f>
        <v/>
      </c>
      <c r="F15" s="3">
        <f>IF('Heure par heure'!G15="","",'Heure par heure'!G15-N('Heure par heure'!G14))</f>
        <v/>
      </c>
      <c r="G15" s="3">
        <f>IF('Heure par heure'!H15="","",'Heure par heure'!H15-N('Heure par heure'!H14))</f>
        <v/>
      </c>
      <c r="H15" s="3">
        <f>IF('Heure par heure'!I15="","",'Heure par heure'!I15-N('Heure par heure'!I14))</f>
        <v/>
      </c>
      <c r="I15" s="3">
        <f>IF('Heure par heure'!J15="","",'Heure par heure'!J15-N('Heure par heure'!J14))</f>
        <v/>
      </c>
      <c r="J15" s="3">
        <f>IF('Heure par heure'!K15="","",'Heure par heure'!K15-N('Heure par heure'!K14))</f>
        <v/>
      </c>
      <c r="K15" s="3">
        <f>IF('Heure par heure'!L15="","",'Heure par heure'!L15-N('Heure par heure'!L14))</f>
        <v/>
      </c>
      <c r="L15" s="3">
        <f>SUM(B15:K15)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IF('Heure par heure'!F16="","",'Heure par heure'!F16-N('Heure par heure'!F15))</f>
        <v/>
      </c>
      <c r="F16" s="3">
        <f>IF('Heure par heure'!G16="","",'Heure par heure'!G16-N('Heure par heure'!G15))</f>
        <v/>
      </c>
      <c r="G16" s="3">
        <f>IF('Heure par heure'!H16="","",'Heure par heure'!H16-N('Heure par heure'!H15))</f>
        <v/>
      </c>
      <c r="H16" s="3">
        <f>IF('Heure par heure'!I16="","",'Heure par heure'!I16-N('Heure par heure'!I15))</f>
        <v/>
      </c>
      <c r="I16" s="3">
        <f>IF('Heure par heure'!J16="","",'Heure par heure'!J16-N('Heure par heure'!J15))</f>
        <v/>
      </c>
      <c r="J16" s="3">
        <f>IF('Heure par heure'!K16="","",'Heure par heure'!K16-N('Heure par heure'!K15))</f>
        <v/>
      </c>
      <c r="K16" s="3">
        <f>IF('Heure par heure'!L16="","",'Heure par heure'!L16-N('Heure par heure'!L15))</f>
        <v/>
      </c>
      <c r="L16" s="3">
        <f>SUM(B16:K16)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IF('Heure par heure'!F17="","",'Heure par heure'!F17-N('Heure par heure'!F16))</f>
        <v/>
      </c>
      <c r="F17" s="3">
        <f>IF('Heure par heure'!G17="","",'Heure par heure'!G17-N('Heure par heure'!G16))</f>
        <v/>
      </c>
      <c r="G17" s="3">
        <f>IF('Heure par heure'!H17="","",'Heure par heure'!H17-N('Heure par heure'!H16))</f>
        <v/>
      </c>
      <c r="H17" s="3">
        <f>IF('Heure par heure'!I17="","",'Heure par heure'!I17-N('Heure par heure'!I16))</f>
        <v/>
      </c>
      <c r="I17" s="3">
        <f>IF('Heure par heure'!J17="","",'Heure par heure'!J17-N('Heure par heure'!J16))</f>
        <v/>
      </c>
      <c r="J17" s="3">
        <f>IF('Heure par heure'!K17="","",'Heure par heure'!K17-N('Heure par heure'!K16))</f>
        <v/>
      </c>
      <c r="K17" s="3">
        <f>IF('Heure par heure'!L17="","",'Heure par heure'!L17-N('Heure par heure'!L16))</f>
        <v/>
      </c>
      <c r="L17" s="3">
        <f>SUM(B17:K17)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IF('Heure par heure'!F18="","",'Heure par heure'!F18-N('Heure par heure'!F17))</f>
        <v/>
      </c>
      <c r="F18" s="3">
        <f>IF('Heure par heure'!G18="","",'Heure par heure'!G18-N('Heure par heure'!G17))</f>
        <v/>
      </c>
      <c r="G18" s="3">
        <f>IF('Heure par heure'!H18="","",'Heure par heure'!H18-N('Heure par heure'!H17))</f>
        <v/>
      </c>
      <c r="H18" s="3">
        <f>IF('Heure par heure'!I18="","",'Heure par heure'!I18-N('Heure par heure'!I17))</f>
        <v/>
      </c>
      <c r="I18" s="3">
        <f>IF('Heure par heure'!J18="","",'Heure par heure'!J18-N('Heure par heure'!J17))</f>
        <v/>
      </c>
      <c r="J18" s="3">
        <f>IF('Heure par heure'!K18="","",'Heure par heure'!K18-N('Heure par heure'!K17))</f>
        <v/>
      </c>
      <c r="K18" s="3">
        <f>IF('Heure par heure'!L18="","",'Heure par heure'!L18-N('Heure par heure'!L17))</f>
        <v/>
      </c>
      <c r="L18" s="3">
        <f>SUM(B18:K18)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IF('Heure par heure'!F19="","",'Heure par heure'!F19-N('Heure par heure'!F18))</f>
        <v/>
      </c>
      <c r="F19" s="3">
        <f>IF('Heure par heure'!G19="","",'Heure par heure'!G19-N('Heure par heure'!G18))</f>
        <v/>
      </c>
      <c r="G19" s="3">
        <f>IF('Heure par heure'!H19="","",'Heure par heure'!H19-N('Heure par heure'!H18))</f>
        <v/>
      </c>
      <c r="H19" s="3">
        <f>IF('Heure par heure'!I19="","",'Heure par heure'!I19-N('Heure par heure'!I18))</f>
        <v/>
      </c>
      <c r="I19" s="3">
        <f>IF('Heure par heure'!J19="","",'Heure par heure'!J19-N('Heure par heure'!J18))</f>
        <v/>
      </c>
      <c r="J19" s="3">
        <f>IF('Heure par heure'!K19="","",'Heure par heure'!K19-N('Heure par heure'!K18))</f>
        <v/>
      </c>
      <c r="K19" s="3">
        <f>IF('Heure par heure'!L19="","",'Heure par heure'!L19-N('Heure par heure'!L18))</f>
        <v/>
      </c>
      <c r="L19" s="3">
        <f>SUM(B19:K19)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IF('Heure par heure'!F20="","",'Heure par heure'!F20-N('Heure par heure'!F19))</f>
        <v/>
      </c>
      <c r="F20" s="3">
        <f>IF('Heure par heure'!G20="","",'Heure par heure'!G20-N('Heure par heure'!G19))</f>
        <v/>
      </c>
      <c r="G20" s="3">
        <f>IF('Heure par heure'!H20="","",'Heure par heure'!H20-N('Heure par heure'!H19))</f>
        <v/>
      </c>
      <c r="H20" s="3">
        <f>IF('Heure par heure'!I20="","",'Heure par heure'!I20-N('Heure par heure'!I19))</f>
        <v/>
      </c>
      <c r="I20" s="3">
        <f>IF('Heure par heure'!J20="","",'Heure par heure'!J20-N('Heure par heure'!J19))</f>
        <v/>
      </c>
      <c r="J20" s="3">
        <f>IF('Heure par heure'!K20="","",'Heure par heure'!K20-N('Heure par heure'!K19))</f>
        <v/>
      </c>
      <c r="K20" s="3">
        <f>IF('Heure par heure'!L20="","",'Heure par heure'!L20-N('Heure par heure'!L19))</f>
        <v/>
      </c>
      <c r="L20" s="3">
        <f>SUM(B20:K20)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IF('Heure par heure'!F21="","",'Heure par heure'!F21-N('Heure par heure'!F20))</f>
        <v/>
      </c>
      <c r="F21" s="3">
        <f>IF('Heure par heure'!G21="","",'Heure par heure'!G21-N('Heure par heure'!G20))</f>
        <v/>
      </c>
      <c r="G21" s="3">
        <f>IF('Heure par heure'!H21="","",'Heure par heure'!H21-N('Heure par heure'!H20))</f>
        <v/>
      </c>
      <c r="H21" s="3">
        <f>IF('Heure par heure'!I21="","",'Heure par heure'!I21-N('Heure par heure'!I20))</f>
        <v/>
      </c>
      <c r="I21" s="3">
        <f>IF('Heure par heure'!J21="","",'Heure par heure'!J21-N('Heure par heure'!J20))</f>
        <v/>
      </c>
      <c r="J21" s="3">
        <f>IF('Heure par heure'!K21="","",'Heure par heure'!K21-N('Heure par heure'!K20))</f>
        <v/>
      </c>
      <c r="K21" s="3">
        <f>IF('Heure par heure'!L21="","",'Heure par heure'!L21-N('Heure par heure'!L20))</f>
        <v/>
      </c>
      <c r="L21" s="3">
        <f>SUM(B21:K21)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IF('Heure par heure'!F22="","",'Heure par heure'!F22-N('Heure par heure'!F21))</f>
        <v/>
      </c>
      <c r="F22" s="3">
        <f>IF('Heure par heure'!G22="","",'Heure par heure'!G22-N('Heure par heure'!G21))</f>
        <v/>
      </c>
      <c r="G22" s="3">
        <f>IF('Heure par heure'!H22="","",'Heure par heure'!H22-N('Heure par heure'!H21))</f>
        <v/>
      </c>
      <c r="H22" s="3">
        <f>IF('Heure par heure'!I22="","",'Heure par heure'!I22-N('Heure par heure'!I21))</f>
        <v/>
      </c>
      <c r="I22" s="3">
        <f>IF('Heure par heure'!J22="","",'Heure par heure'!J22-N('Heure par heure'!J21))</f>
        <v/>
      </c>
      <c r="J22" s="3">
        <f>IF('Heure par heure'!K22="","",'Heure par heure'!K22-N('Heure par heure'!K21))</f>
        <v/>
      </c>
      <c r="K22" s="3">
        <f>IF('Heure par heure'!L22="","",'Heure par heure'!L22-N('Heure par heure'!L21))</f>
        <v/>
      </c>
      <c r="L22" s="3">
        <f>SUM(B22:K22)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IF('Heure par heure'!F23="","",'Heure par heure'!F23-N('Heure par heure'!F22))</f>
        <v/>
      </c>
      <c r="F23" s="3">
        <f>IF('Heure par heure'!G23="","",'Heure par heure'!G23-N('Heure par heure'!G22))</f>
        <v/>
      </c>
      <c r="G23" s="3">
        <f>IF('Heure par heure'!H23="","",'Heure par heure'!H23-N('Heure par heure'!H22))</f>
        <v/>
      </c>
      <c r="H23" s="3">
        <f>IF('Heure par heure'!I23="","",'Heure par heure'!I23-N('Heure par heure'!I22))</f>
        <v/>
      </c>
      <c r="I23" s="3">
        <f>IF('Heure par heure'!J23="","",'Heure par heure'!J23-N('Heure par heure'!J22))</f>
        <v/>
      </c>
      <c r="J23" s="3">
        <f>IF('Heure par heure'!K23="","",'Heure par heure'!K23-N('Heure par heure'!K22))</f>
        <v/>
      </c>
      <c r="K23" s="3">
        <f>IF('Heure par heure'!L23="","",'Heure par heure'!L23-N('Heure par heure'!L22))</f>
        <v/>
      </c>
      <c r="L23" s="3">
        <f>SUM(B23:K23)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IF('Heure par heure'!F24="","",'Heure par heure'!F24-N('Heure par heure'!F23))</f>
        <v/>
      </c>
      <c r="F24" s="3">
        <f>IF('Heure par heure'!G24="","",'Heure par heure'!G24-N('Heure par heure'!G23))</f>
        <v/>
      </c>
      <c r="G24" s="3">
        <f>IF('Heure par heure'!H24="","",'Heure par heure'!H24-N('Heure par heure'!H23))</f>
        <v/>
      </c>
      <c r="H24" s="3">
        <f>IF('Heure par heure'!I24="","",'Heure par heure'!I24-N('Heure par heure'!I23))</f>
        <v/>
      </c>
      <c r="I24" s="3">
        <f>IF('Heure par heure'!J24="","",'Heure par heure'!J24-N('Heure par heure'!J23))</f>
        <v/>
      </c>
      <c r="J24" s="3">
        <f>IF('Heure par heure'!K24="","",'Heure par heure'!K24-N('Heure par heure'!K23))</f>
        <v/>
      </c>
      <c r="K24" s="3">
        <f>IF('Heure par heure'!L24="","",'Heure par heure'!L24-N('Heure par heure'!L23))</f>
        <v/>
      </c>
      <c r="L24" s="3">
        <f>SUM(B24:K24)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IF('Heure par heure'!F25="","",'Heure par heure'!F25-N('Heure par heure'!F24))</f>
        <v/>
      </c>
      <c r="F25" s="3">
        <f>IF('Heure par heure'!G25="","",'Heure par heure'!G25-N('Heure par heure'!G24))</f>
        <v/>
      </c>
      <c r="G25" s="3">
        <f>IF('Heure par heure'!H25="","",'Heure par heure'!H25-N('Heure par heure'!H24))</f>
        <v/>
      </c>
      <c r="H25" s="3">
        <f>IF('Heure par heure'!I25="","",'Heure par heure'!I25-N('Heure par heure'!I24))</f>
        <v/>
      </c>
      <c r="I25" s="3">
        <f>IF('Heure par heure'!J25="","",'Heure par heure'!J25-N('Heure par heure'!J24))</f>
        <v/>
      </c>
      <c r="J25" s="3">
        <f>IF('Heure par heure'!K25="","",'Heure par heure'!K25-N('Heure par heure'!K24))</f>
        <v/>
      </c>
      <c r="K25" s="3">
        <f>IF('Heure par heure'!L25="","",'Heure par heure'!L25-N('Heure par heure'!L24))</f>
        <v/>
      </c>
      <c r="L25" s="3">
        <f>SUM(B25:K25)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IF('Heure par heure'!F26="","",'Heure par heure'!F26-N('Heure par heure'!F25))</f>
        <v/>
      </c>
      <c r="F26" s="3">
        <f>IF('Heure par heure'!G26="","",'Heure par heure'!G26-N('Heure par heure'!G25))</f>
        <v/>
      </c>
      <c r="G26" s="3">
        <f>IF('Heure par heure'!H26="","",'Heure par heure'!H26-N('Heure par heure'!H25))</f>
        <v/>
      </c>
      <c r="H26" s="3">
        <f>IF('Heure par heure'!I26="","",'Heure par heure'!I26-N('Heure par heure'!I25))</f>
        <v/>
      </c>
      <c r="I26" s="3">
        <f>IF('Heure par heure'!J26="","",'Heure par heure'!J26-N('Heure par heure'!J25))</f>
        <v/>
      </c>
      <c r="J26" s="3">
        <f>IF('Heure par heure'!K26="","",'Heure par heure'!K26-N('Heure par heure'!K25))</f>
        <v/>
      </c>
      <c r="K26" s="3">
        <f>IF('Heure par heure'!L26="","",'Heure par heure'!L26-N('Heure par heure'!L25))</f>
        <v/>
      </c>
      <c r="L26" s="3">
        <f>SUM(B26:K26)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IF('Heure par heure'!F27="","",'Heure par heure'!F27-N('Heure par heure'!F26))</f>
        <v/>
      </c>
      <c r="F27" s="3">
        <f>IF('Heure par heure'!G27="","",'Heure par heure'!G27-N('Heure par heure'!G26))</f>
        <v/>
      </c>
      <c r="G27" s="3">
        <f>IF('Heure par heure'!H27="","",'Heure par heure'!H27-N('Heure par heure'!H26))</f>
        <v/>
      </c>
      <c r="H27" s="3">
        <f>IF('Heure par heure'!I27="","",'Heure par heure'!I27-N('Heure par heure'!I26))</f>
        <v/>
      </c>
      <c r="I27" s="3">
        <f>IF('Heure par heure'!J27="","",'Heure par heure'!J27-N('Heure par heure'!J26))</f>
        <v/>
      </c>
      <c r="J27" s="3">
        <f>IF('Heure par heure'!K27="","",'Heure par heure'!K27-N('Heure par heure'!K26))</f>
        <v/>
      </c>
      <c r="K27" s="3">
        <f>IF('Heure par heure'!L27="","",'Heure par heure'!L27-N('Heure par heure'!L26))</f>
        <v/>
      </c>
      <c r="L27" s="3">
        <f>SUM(B27:K27)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IF('Heure par heure'!F28="","",'Heure par heure'!F28-N('Heure par heure'!F27))</f>
        <v/>
      </c>
      <c r="F28" s="3">
        <f>IF('Heure par heure'!G28="","",'Heure par heure'!G28-N('Heure par heure'!G27))</f>
        <v/>
      </c>
      <c r="G28" s="3">
        <f>IF('Heure par heure'!H28="","",'Heure par heure'!H28-N('Heure par heure'!H27))</f>
        <v/>
      </c>
      <c r="H28" s="3">
        <f>IF('Heure par heure'!I28="","",'Heure par heure'!I28-N('Heure par heure'!I27))</f>
        <v/>
      </c>
      <c r="I28" s="3">
        <f>IF('Heure par heure'!J28="","",'Heure par heure'!J28-N('Heure par heure'!J27))</f>
        <v/>
      </c>
      <c r="J28" s="3">
        <f>IF('Heure par heure'!K28="","",'Heure par heure'!K28-N('Heure par heure'!K27))</f>
        <v/>
      </c>
      <c r="K28" s="3">
        <f>IF('Heure par heure'!L28="","",'Heure par heure'!L28-N('Heure par heure'!L27))</f>
        <v/>
      </c>
      <c r="L28" s="3">
        <f>SUM(B28:K28)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IF('Heure par heure'!F29="","",'Heure par heure'!F29-N('Heure par heure'!F28))</f>
        <v/>
      </c>
      <c r="F29" s="3">
        <f>IF('Heure par heure'!G29="","",'Heure par heure'!G29-N('Heure par heure'!G28))</f>
        <v/>
      </c>
      <c r="G29" s="3">
        <f>IF('Heure par heure'!H29="","",'Heure par heure'!H29-N('Heure par heure'!H28))</f>
        <v/>
      </c>
      <c r="H29" s="3">
        <f>IF('Heure par heure'!I29="","",'Heure par heure'!I29-N('Heure par heure'!I28))</f>
        <v/>
      </c>
      <c r="I29" s="3">
        <f>IF('Heure par heure'!J29="","",'Heure par heure'!J29-N('Heure par heure'!J28))</f>
        <v/>
      </c>
      <c r="J29" s="3">
        <f>IF('Heure par heure'!K29="","",'Heure par heure'!K29-N('Heure par heure'!K28))</f>
        <v/>
      </c>
      <c r="K29" s="3">
        <f>IF('Heure par heure'!L29="","",'Heure par heure'!L29-N('Heure par heure'!L28))</f>
        <v/>
      </c>
      <c r="L29" s="3">
        <f>SUM(B29:K29)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IF('Heure par heure'!F30="","",'Heure par heure'!F30-N('Heure par heure'!F29))</f>
        <v/>
      </c>
      <c r="F30" s="3">
        <f>IF('Heure par heure'!G30="","",'Heure par heure'!G30-N('Heure par heure'!G29))</f>
        <v/>
      </c>
      <c r="G30" s="3">
        <f>IF('Heure par heure'!H30="","",'Heure par heure'!H30-N('Heure par heure'!H29))</f>
        <v/>
      </c>
      <c r="H30" s="3">
        <f>IF('Heure par heure'!I30="","",'Heure par heure'!I30-N('Heure par heure'!I29))</f>
        <v/>
      </c>
      <c r="I30" s="3">
        <f>IF('Heure par heure'!J30="","",'Heure par heure'!J30-N('Heure par heure'!J29))</f>
        <v/>
      </c>
      <c r="J30" s="3">
        <f>IF('Heure par heure'!K30="","",'Heure par heure'!K30-N('Heure par heure'!K29))</f>
        <v/>
      </c>
      <c r="K30" s="3">
        <f>IF('Heure par heure'!L30="","",'Heure par heure'!L30-N('Heure par heure'!L29))</f>
        <v/>
      </c>
      <c r="L30" s="3">
        <f>SUM(B30:K30)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IF('Heure par heure'!F31="","",'Heure par heure'!F31-N('Heure par heure'!F30))</f>
        <v/>
      </c>
      <c r="F31" s="3">
        <f>IF('Heure par heure'!G31="","",'Heure par heure'!G31-N('Heure par heure'!G30))</f>
        <v/>
      </c>
      <c r="G31" s="3">
        <f>IF('Heure par heure'!H31="","",'Heure par heure'!H31-N('Heure par heure'!H30))</f>
        <v/>
      </c>
      <c r="H31" s="3">
        <f>IF('Heure par heure'!I31="","",'Heure par heure'!I31-N('Heure par heure'!I30))</f>
        <v/>
      </c>
      <c r="I31" s="3">
        <f>IF('Heure par heure'!J31="","",'Heure par heure'!J31-N('Heure par heure'!J30))</f>
        <v/>
      </c>
      <c r="J31" s="3">
        <f>IF('Heure par heure'!K31="","",'Heure par heure'!K31-N('Heure par heure'!K30))</f>
        <v/>
      </c>
      <c r="K31" s="3">
        <f>IF('Heure par heure'!L31="","",'Heure par heure'!L31-N('Heure par heure'!L30))</f>
        <v/>
      </c>
      <c r="L31" s="3">
        <f>SUM(B31:K31)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IF('Heure par heure'!F32="","",'Heure par heure'!F32-N('Heure par heure'!F31))</f>
        <v/>
      </c>
      <c r="F32" s="3">
        <f>IF('Heure par heure'!G32="","",'Heure par heure'!G32-N('Heure par heure'!G31))</f>
        <v/>
      </c>
      <c r="G32" s="3">
        <f>IF('Heure par heure'!H32="","",'Heure par heure'!H32-N('Heure par heure'!H31))</f>
        <v/>
      </c>
      <c r="H32" s="3">
        <f>IF('Heure par heure'!I32="","",'Heure par heure'!I32-N('Heure par heure'!I31))</f>
        <v/>
      </c>
      <c r="I32" s="3">
        <f>IF('Heure par heure'!J32="","",'Heure par heure'!J32-N('Heure par heure'!J31))</f>
        <v/>
      </c>
      <c r="J32" s="3">
        <f>IF('Heure par heure'!K32="","",'Heure par heure'!K32-N('Heure par heure'!K31))</f>
        <v/>
      </c>
      <c r="K32" s="3">
        <f>IF('Heure par heure'!L32="","",'Heure par heure'!L32-N('Heure par heure'!L31))</f>
        <v/>
      </c>
      <c r="L32" s="3">
        <f>SUM(B32:K32)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IF('Heure par heure'!F33="","",'Heure par heure'!F33-N('Heure par heure'!F32))</f>
        <v/>
      </c>
      <c r="F33" s="3">
        <f>IF('Heure par heure'!G33="","",'Heure par heure'!G33-N('Heure par heure'!G32))</f>
        <v/>
      </c>
      <c r="G33" s="3">
        <f>IF('Heure par heure'!H33="","",'Heure par heure'!H33-N('Heure par heure'!H32))</f>
        <v/>
      </c>
      <c r="H33" s="3">
        <f>IF('Heure par heure'!I33="","",'Heure par heure'!I33-N('Heure par heure'!I32))</f>
        <v/>
      </c>
      <c r="I33" s="3">
        <f>IF('Heure par heure'!J33="","",'Heure par heure'!J33-N('Heure par heure'!J32))</f>
        <v/>
      </c>
      <c r="J33" s="3">
        <f>IF('Heure par heure'!K33="","",'Heure par heure'!K33-N('Heure par heure'!K32))</f>
        <v/>
      </c>
      <c r="K33" s="3">
        <f>IF('Heure par heure'!L33="","",'Heure par heure'!L33-N('Heure par heure'!L32))</f>
        <v/>
      </c>
      <c r="L33" s="3">
        <f>SUM(B33:K33)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IF('Heure par heure'!F34="","",'Heure par heure'!F34-N('Heure par heure'!F33))</f>
        <v/>
      </c>
      <c r="F34" s="3">
        <f>IF('Heure par heure'!G34="","",'Heure par heure'!G34-N('Heure par heure'!G33))</f>
        <v/>
      </c>
      <c r="G34" s="3">
        <f>IF('Heure par heure'!H34="","",'Heure par heure'!H34-N('Heure par heure'!H33))</f>
        <v/>
      </c>
      <c r="H34" s="3">
        <f>IF('Heure par heure'!I34="","",'Heure par heure'!I34-N('Heure par heure'!I33))</f>
        <v/>
      </c>
      <c r="I34" s="3">
        <f>IF('Heure par heure'!J34="","",'Heure par heure'!J34-N('Heure par heure'!J33))</f>
        <v/>
      </c>
      <c r="J34" s="3">
        <f>IF('Heure par heure'!K34="","",'Heure par heure'!K34-N('Heure par heure'!K33))</f>
        <v/>
      </c>
      <c r="K34" s="3">
        <f>IF('Heure par heure'!L34="","",'Heure par heure'!L34-N('Heure par heure'!L33))</f>
        <v/>
      </c>
      <c r="L34" s="3">
        <f>SUM(B34:K34)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IF('Heure par heure'!F35="","",'Heure par heure'!F35-N('Heure par heure'!F34))</f>
        <v/>
      </c>
      <c r="F35" s="3">
        <f>IF('Heure par heure'!G35="","",'Heure par heure'!G35-N('Heure par heure'!G34))</f>
        <v/>
      </c>
      <c r="G35" s="3">
        <f>IF('Heure par heure'!H35="","",'Heure par heure'!H35-N('Heure par heure'!H34))</f>
        <v/>
      </c>
      <c r="H35" s="3">
        <f>IF('Heure par heure'!I35="","",'Heure par heure'!I35-N('Heure par heure'!I34))</f>
        <v/>
      </c>
      <c r="I35" s="3">
        <f>IF('Heure par heure'!J35="","",'Heure par heure'!J35-N('Heure par heure'!J34))</f>
        <v/>
      </c>
      <c r="J35" s="3">
        <f>IF('Heure par heure'!K35="","",'Heure par heure'!K35-N('Heure par heure'!K34))</f>
        <v/>
      </c>
      <c r="K35" s="3">
        <f>IF('Heure par heure'!L35="","",'Heure par heure'!L35-N('Heure par heure'!L34))</f>
        <v/>
      </c>
      <c r="L35" s="3">
        <f>SUM(B35:K35)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IF('Heure par heure'!E36="","",'Heure par heure'!E36-N('Heure par heure'!E35))</f>
        <v/>
      </c>
      <c r="E36" s="3">
        <f>IF('Heure par heure'!F36="","",'Heure par heure'!F36-N('Heure par heure'!F35))</f>
        <v/>
      </c>
      <c r="F36" s="3">
        <f>IF('Heure par heure'!G36="","",'Heure par heure'!G36-N('Heure par heure'!G35))</f>
        <v/>
      </c>
      <c r="G36" s="3">
        <f>IF('Heure par heure'!H36="","",'Heure par heure'!H36-N('Heure par heure'!H35))</f>
        <v/>
      </c>
      <c r="H36" s="3">
        <f>IF('Heure par heure'!I36="","",'Heure par heure'!I36-N('Heure par heure'!I35))</f>
        <v/>
      </c>
      <c r="I36" s="3">
        <f>IF('Heure par heure'!J36="","",'Heure par heure'!J36-N('Heure par heure'!J35))</f>
        <v/>
      </c>
      <c r="J36" s="3">
        <f>IF('Heure par heure'!K36="","",'Heure par heure'!K36-N('Heure par heure'!K35))</f>
        <v/>
      </c>
      <c r="K36" s="3">
        <f>IF('Heure par heure'!L36="","",'Heure par heure'!L36-N('Heure par heure'!L35))</f>
        <v/>
      </c>
      <c r="L36" s="3">
        <f>SUM(B36:K36)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IF('Heure par heure'!E37="","",'Heure par heure'!E37-N('Heure par heure'!E36))</f>
        <v/>
      </c>
      <c r="E37" s="3">
        <f>IF('Heure par heure'!F37="","",'Heure par heure'!F37-N('Heure par heure'!F36))</f>
        <v/>
      </c>
      <c r="F37" s="3">
        <f>IF('Heure par heure'!G37="","",'Heure par heure'!G37-N('Heure par heure'!G36))</f>
        <v/>
      </c>
      <c r="G37" s="3">
        <f>IF('Heure par heure'!H37="","",'Heure par heure'!H37-N('Heure par heure'!H36))</f>
        <v/>
      </c>
      <c r="H37" s="3">
        <f>IF('Heure par heure'!I37="","",'Heure par heure'!I37-N('Heure par heure'!I36))</f>
        <v/>
      </c>
      <c r="I37" s="3">
        <f>IF('Heure par heure'!J37="","",'Heure par heure'!J37-N('Heure par heure'!J36))</f>
        <v/>
      </c>
      <c r="J37" s="3">
        <f>IF('Heure par heure'!K37="","",'Heure par heure'!K37-N('Heure par heure'!K36))</f>
        <v/>
      </c>
      <c r="K37" s="3">
        <f>IF('Heure par heure'!L37="","",'Heure par heure'!L37-N('Heure par heure'!L36))</f>
        <v/>
      </c>
      <c r="L37" s="3">
        <f>SUM(B37:K37)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IF('Heure par heure'!E38="","",'Heure par heure'!E38-N('Heure par heure'!E37))</f>
        <v/>
      </c>
      <c r="E38" s="3">
        <f>IF('Heure par heure'!F38="","",'Heure par heure'!F38-N('Heure par heure'!F37))</f>
        <v/>
      </c>
      <c r="F38" s="3">
        <f>IF('Heure par heure'!G38="","",'Heure par heure'!G38-N('Heure par heure'!G37))</f>
        <v/>
      </c>
      <c r="G38" s="3">
        <f>IF('Heure par heure'!H38="","",'Heure par heure'!H38-N('Heure par heure'!H37))</f>
        <v/>
      </c>
      <c r="H38" s="3">
        <f>IF('Heure par heure'!I38="","",'Heure par heure'!I38-N('Heure par heure'!I37))</f>
        <v/>
      </c>
      <c r="I38" s="3">
        <f>IF('Heure par heure'!J38="","",'Heure par heure'!J38-N('Heure par heure'!J37))</f>
        <v/>
      </c>
      <c r="J38" s="3">
        <f>IF('Heure par heure'!K38="","",'Heure par heure'!K38-N('Heure par heure'!K37))</f>
        <v/>
      </c>
      <c r="K38" s="3">
        <f>IF('Heure par heure'!L38="","",'Heure par heure'!L38-N('Heure par heure'!L37))</f>
        <v/>
      </c>
      <c r="L38" s="3">
        <f>SUM(B38:K38)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IF('Heure par heure'!E39="","",'Heure par heure'!E39-N('Heure par heure'!E38))</f>
        <v/>
      </c>
      <c r="E39" s="3">
        <f>IF('Heure par heure'!F39="","",'Heure par heure'!F39-N('Heure par heure'!F38))</f>
        <v/>
      </c>
      <c r="F39" s="3">
        <f>IF('Heure par heure'!G39="","",'Heure par heure'!G39-N('Heure par heure'!G38))</f>
        <v/>
      </c>
      <c r="G39" s="3">
        <f>IF('Heure par heure'!H39="","",'Heure par heure'!H39-N('Heure par heure'!H38))</f>
        <v/>
      </c>
      <c r="H39" s="3">
        <f>IF('Heure par heure'!I39="","",'Heure par heure'!I39-N('Heure par heure'!I38))</f>
        <v/>
      </c>
      <c r="I39" s="3">
        <f>IF('Heure par heure'!J39="","",'Heure par heure'!J39-N('Heure par heure'!J38))</f>
        <v/>
      </c>
      <c r="J39" s="3">
        <f>IF('Heure par heure'!K39="","",'Heure par heure'!K39-N('Heure par heure'!K38))</f>
        <v/>
      </c>
      <c r="K39" s="3">
        <f>IF('Heure par heure'!L39="","",'Heure par heure'!L39-N('Heure par heure'!L38))</f>
        <v/>
      </c>
      <c r="L39" s="3">
        <f>SUM(B39:K39)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IF('Heure par heure'!E40="","",'Heure par heure'!E40-N('Heure par heure'!E39))</f>
        <v/>
      </c>
      <c r="E40" s="3">
        <f>IF('Heure par heure'!F40="","",'Heure par heure'!F40-N('Heure par heure'!F39))</f>
        <v/>
      </c>
      <c r="F40" s="3">
        <f>IF('Heure par heure'!G40="","",'Heure par heure'!G40-N('Heure par heure'!G39))</f>
        <v/>
      </c>
      <c r="G40" s="3">
        <f>IF('Heure par heure'!H40="","",'Heure par heure'!H40-N('Heure par heure'!H39))</f>
        <v/>
      </c>
      <c r="H40" s="3">
        <f>IF('Heure par heure'!I40="","",'Heure par heure'!I40-N('Heure par heure'!I39))</f>
        <v/>
      </c>
      <c r="I40" s="3">
        <f>IF('Heure par heure'!J40="","",'Heure par heure'!J40-N('Heure par heure'!J39))</f>
        <v/>
      </c>
      <c r="J40" s="3">
        <f>IF('Heure par heure'!K40="","",'Heure par heure'!K40-N('Heure par heure'!K39))</f>
        <v/>
      </c>
      <c r="K40" s="3">
        <f>IF('Heure par heure'!L40="","",'Heure par heure'!L40-N('Heure par heure'!L39))</f>
        <v/>
      </c>
      <c r="L40" s="3">
        <f>SUM(B40:K40)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IF('Heure par heure'!E41="","",'Heure par heure'!E41-N('Heure par heure'!E40))</f>
        <v/>
      </c>
      <c r="E41" s="3">
        <f>IF('Heure par heure'!F41="","",'Heure par heure'!F41-N('Heure par heure'!F40))</f>
        <v/>
      </c>
      <c r="F41" s="3">
        <f>IF('Heure par heure'!G41="","",'Heure par heure'!G41-N('Heure par heure'!G40))</f>
        <v/>
      </c>
      <c r="G41" s="3">
        <f>IF('Heure par heure'!H41="","",'Heure par heure'!H41-N('Heure par heure'!H40))</f>
        <v/>
      </c>
      <c r="H41" s="3">
        <f>IF('Heure par heure'!I41="","",'Heure par heure'!I41-N('Heure par heure'!I40))</f>
        <v/>
      </c>
      <c r="I41" s="3">
        <f>IF('Heure par heure'!J41="","",'Heure par heure'!J41-N('Heure par heure'!J40))</f>
        <v/>
      </c>
      <c r="J41" s="3">
        <f>IF('Heure par heure'!K41="","",'Heure par heure'!K41-N('Heure par heure'!K40))</f>
        <v/>
      </c>
      <c r="K41" s="3">
        <f>IF('Heure par heure'!L41="","",'Heure par heure'!L41-N('Heure par heure'!L40))</f>
        <v/>
      </c>
      <c r="L41" s="3">
        <f>SUM(B41:K41)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IF('Heure par heure'!E42="","",'Heure par heure'!E42-N('Heure par heure'!E41))</f>
        <v/>
      </c>
      <c r="E42" s="3">
        <f>IF('Heure par heure'!F42="","",'Heure par heure'!F42-N('Heure par heure'!F41))</f>
        <v/>
      </c>
      <c r="F42" s="3">
        <f>IF('Heure par heure'!G42="","",'Heure par heure'!G42-N('Heure par heure'!G41))</f>
        <v/>
      </c>
      <c r="G42" s="3">
        <f>IF('Heure par heure'!H42="","",'Heure par heure'!H42-N('Heure par heure'!H41))</f>
        <v/>
      </c>
      <c r="H42" s="3">
        <f>IF('Heure par heure'!I42="","",'Heure par heure'!I42-N('Heure par heure'!I41))</f>
        <v/>
      </c>
      <c r="I42" s="3">
        <f>IF('Heure par heure'!J42="","",'Heure par heure'!J42-N('Heure par heure'!J41))</f>
        <v/>
      </c>
      <c r="J42" s="3">
        <f>IF('Heure par heure'!K42="","",'Heure par heure'!K42-N('Heure par heure'!K41))</f>
        <v/>
      </c>
      <c r="K42" s="3">
        <f>IF('Heure par heure'!L42="","",'Heure par heure'!L42-N('Heure par heure'!L41))</f>
        <v/>
      </c>
      <c r="L42" s="3">
        <f>SUM(B42:K42)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IF('Heure par heure'!E43="","",'Heure par heure'!E43-N('Heure par heure'!E42))</f>
        <v/>
      </c>
      <c r="E43" s="3">
        <f>IF('Heure par heure'!F43="","",'Heure par heure'!F43-N('Heure par heure'!F42))</f>
        <v/>
      </c>
      <c r="F43" s="3">
        <f>IF('Heure par heure'!G43="","",'Heure par heure'!G43-N('Heure par heure'!G42))</f>
        <v/>
      </c>
      <c r="G43" s="3">
        <f>IF('Heure par heure'!H43="","",'Heure par heure'!H43-N('Heure par heure'!H42))</f>
        <v/>
      </c>
      <c r="H43" s="3">
        <f>IF('Heure par heure'!I43="","",'Heure par heure'!I43-N('Heure par heure'!I42))</f>
        <v/>
      </c>
      <c r="I43" s="3">
        <f>IF('Heure par heure'!J43="","",'Heure par heure'!J43-N('Heure par heure'!J42))</f>
        <v/>
      </c>
      <c r="J43" s="3">
        <f>IF('Heure par heure'!K43="","",'Heure par heure'!K43-N('Heure par heure'!K42))</f>
        <v/>
      </c>
      <c r="K43" s="3">
        <f>IF('Heure par heure'!L43="","",'Heure par heure'!L43-N('Heure par heure'!L42))</f>
        <v/>
      </c>
      <c r="L43" s="3">
        <f>SUM(B43:K43)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IF('Heure par heure'!E44="","",'Heure par heure'!E44-N('Heure par heure'!E43))</f>
        <v/>
      </c>
      <c r="E44" s="3">
        <f>IF('Heure par heure'!F44="","",'Heure par heure'!F44-N('Heure par heure'!F43))</f>
        <v/>
      </c>
      <c r="F44" s="3">
        <f>IF('Heure par heure'!G44="","",'Heure par heure'!G44-N('Heure par heure'!G43))</f>
        <v/>
      </c>
      <c r="G44" s="3">
        <f>IF('Heure par heure'!H44="","",'Heure par heure'!H44-N('Heure par heure'!H43))</f>
        <v/>
      </c>
      <c r="H44" s="3">
        <f>IF('Heure par heure'!I44="","",'Heure par heure'!I44-N('Heure par heure'!I43))</f>
        <v/>
      </c>
      <c r="I44" s="3">
        <f>IF('Heure par heure'!J44="","",'Heure par heure'!J44-N('Heure par heure'!J43))</f>
        <v/>
      </c>
      <c r="J44" s="3">
        <f>IF('Heure par heure'!K44="","",'Heure par heure'!K44-N('Heure par heure'!K43))</f>
        <v/>
      </c>
      <c r="K44" s="3">
        <f>IF('Heure par heure'!L44="","",'Heure par heure'!L44-N('Heure par heure'!L43))</f>
        <v/>
      </c>
      <c r="L44" s="3">
        <f>SUM(B44:K44)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IF('Heure par heure'!E45="","",'Heure par heure'!E45-N('Heure par heure'!E44))</f>
        <v/>
      </c>
      <c r="E45" s="3">
        <f>IF('Heure par heure'!F45="","",'Heure par heure'!F45-N('Heure par heure'!F44))</f>
        <v/>
      </c>
      <c r="F45" s="3">
        <f>IF('Heure par heure'!G45="","",'Heure par heure'!G45-N('Heure par heure'!G44))</f>
        <v/>
      </c>
      <c r="G45" s="3">
        <f>IF('Heure par heure'!H45="","",'Heure par heure'!H45-N('Heure par heure'!H44))</f>
        <v/>
      </c>
      <c r="H45" s="3">
        <f>IF('Heure par heure'!I45="","",'Heure par heure'!I45-N('Heure par heure'!I44))</f>
        <v/>
      </c>
      <c r="I45" s="3">
        <f>IF('Heure par heure'!J45="","",'Heure par heure'!J45-N('Heure par heure'!J44))</f>
        <v/>
      </c>
      <c r="J45" s="3">
        <f>IF('Heure par heure'!K45="","",'Heure par heure'!K45-N('Heure par heure'!K44))</f>
        <v/>
      </c>
      <c r="K45" s="3">
        <f>IF('Heure par heure'!L45="","",'Heure par heure'!L45-N('Heure par heure'!L44))</f>
        <v/>
      </c>
      <c r="L45" s="3">
        <f>SUM(B45:K45)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IF('Heure par heure'!E46="","",'Heure par heure'!E46-N('Heure par heure'!E45))</f>
        <v/>
      </c>
      <c r="E46" s="3">
        <f>IF('Heure par heure'!F46="","",'Heure par heure'!F46-N('Heure par heure'!F45))</f>
        <v/>
      </c>
      <c r="F46" s="3">
        <f>IF('Heure par heure'!G46="","",'Heure par heure'!G46-N('Heure par heure'!G45))</f>
        <v/>
      </c>
      <c r="G46" s="3">
        <f>IF('Heure par heure'!H46="","",'Heure par heure'!H46-N('Heure par heure'!H45))</f>
        <v/>
      </c>
      <c r="H46" s="3">
        <f>IF('Heure par heure'!I46="","",'Heure par heure'!I46-N('Heure par heure'!I45))</f>
        <v/>
      </c>
      <c r="I46" s="3">
        <f>IF('Heure par heure'!J46="","",'Heure par heure'!J46-N('Heure par heure'!J45))</f>
        <v/>
      </c>
      <c r="J46" s="3">
        <f>IF('Heure par heure'!K46="","",'Heure par heure'!K46-N('Heure par heure'!K45))</f>
        <v/>
      </c>
      <c r="K46" s="3">
        <f>IF('Heure par heure'!L46="","",'Heure par heure'!L46-N('Heure par heure'!L45))</f>
        <v/>
      </c>
      <c r="L46" s="3">
        <f>SUM(B46:K46)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IF('Heure par heure'!E47="","",'Heure par heure'!E47-N('Heure par heure'!E46))</f>
        <v/>
      </c>
      <c r="E47" s="3">
        <f>IF('Heure par heure'!F47="","",'Heure par heure'!F47-N('Heure par heure'!F46))</f>
        <v/>
      </c>
      <c r="F47" s="3">
        <f>IF('Heure par heure'!G47="","",'Heure par heure'!G47-N('Heure par heure'!G46))</f>
        <v/>
      </c>
      <c r="G47" s="3">
        <f>IF('Heure par heure'!H47="","",'Heure par heure'!H47-N('Heure par heure'!H46))</f>
        <v/>
      </c>
      <c r="H47" s="3">
        <f>IF('Heure par heure'!I47="","",'Heure par heure'!I47-N('Heure par heure'!I46))</f>
        <v/>
      </c>
      <c r="I47" s="3">
        <f>IF('Heure par heure'!J47="","",'Heure par heure'!J47-N('Heure par heure'!J46))</f>
        <v/>
      </c>
      <c r="J47" s="3">
        <f>IF('Heure par heure'!K47="","",'Heure par heure'!K47-N('Heure par heure'!K46))</f>
        <v/>
      </c>
      <c r="K47" s="3">
        <f>IF('Heure par heure'!L47="","",'Heure par heure'!L47-N('Heure par heure'!L46))</f>
        <v/>
      </c>
      <c r="L47" s="3">
        <f>SUM(B47:K47)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IF('Heure par heure'!E48="","",'Heure par heure'!E48-N('Heure par heure'!E47))</f>
        <v/>
      </c>
      <c r="E48" s="3">
        <f>IF('Heure par heure'!F48="","",'Heure par heure'!F48-N('Heure par heure'!F47))</f>
        <v/>
      </c>
      <c r="F48" s="3">
        <f>IF('Heure par heure'!G48="","",'Heure par heure'!G48-N('Heure par heure'!G47))</f>
        <v/>
      </c>
      <c r="G48" s="3">
        <f>IF('Heure par heure'!H48="","",'Heure par heure'!H48-N('Heure par heure'!H47))</f>
        <v/>
      </c>
      <c r="H48" s="3">
        <f>IF('Heure par heure'!I48="","",'Heure par heure'!I48-N('Heure par heure'!I47))</f>
        <v/>
      </c>
      <c r="I48" s="3">
        <f>IF('Heure par heure'!J48="","",'Heure par heure'!J48-N('Heure par heure'!J47))</f>
        <v/>
      </c>
      <c r="J48" s="3">
        <f>IF('Heure par heure'!K48="","",'Heure par heure'!K48-N('Heure par heure'!K47))</f>
        <v/>
      </c>
      <c r="K48" s="3">
        <f>IF('Heure par heure'!L48="","",'Heure par heure'!L48-N('Heure par heure'!L47))</f>
        <v/>
      </c>
      <c r="L48" s="3">
        <f>SUM(B48:K48)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IF('Heure par heure'!E49="","",'Heure par heure'!E49-N('Heure par heure'!E48))</f>
        <v/>
      </c>
      <c r="E49" s="3">
        <f>IF('Heure par heure'!F49="","",'Heure par heure'!F49-N('Heure par heure'!F48))</f>
        <v/>
      </c>
      <c r="F49" s="3">
        <f>IF('Heure par heure'!G49="","",'Heure par heure'!G49-N('Heure par heure'!G48))</f>
        <v/>
      </c>
      <c r="G49" s="3">
        <f>IF('Heure par heure'!H49="","",'Heure par heure'!H49-N('Heure par heure'!H48))</f>
        <v/>
      </c>
      <c r="H49" s="3">
        <f>IF('Heure par heure'!I49="","",'Heure par heure'!I49-N('Heure par heure'!I48))</f>
        <v/>
      </c>
      <c r="I49" s="3">
        <f>IF('Heure par heure'!J49="","",'Heure par heure'!J49-N('Heure par heure'!J48))</f>
        <v/>
      </c>
      <c r="J49" s="3">
        <f>IF('Heure par heure'!K49="","",'Heure par heure'!K49-N('Heure par heure'!K48))</f>
        <v/>
      </c>
      <c r="K49" s="3">
        <f>IF('Heure par heure'!L49="","",'Heure par heure'!L49-N('Heure par heure'!L48))</f>
        <v/>
      </c>
      <c r="L49" s="3">
        <f>SUM(B49:K49)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IF('Heure par heure'!E50="","",'Heure par heure'!E50-N('Heure par heure'!E49))</f>
        <v/>
      </c>
      <c r="E50" s="3">
        <f>IF('Heure par heure'!F50="","",'Heure par heure'!F50-N('Heure par heure'!F49))</f>
        <v/>
      </c>
      <c r="F50" s="3">
        <f>IF('Heure par heure'!G50="","",'Heure par heure'!G50-N('Heure par heure'!G49))</f>
        <v/>
      </c>
      <c r="G50" s="3">
        <f>IF('Heure par heure'!H50="","",'Heure par heure'!H50-N('Heure par heure'!H49))</f>
        <v/>
      </c>
      <c r="H50" s="3">
        <f>IF('Heure par heure'!I50="","",'Heure par heure'!I50-N('Heure par heure'!I49))</f>
        <v/>
      </c>
      <c r="I50" s="3">
        <f>IF('Heure par heure'!J50="","",'Heure par heure'!J50-N('Heure par heure'!J49))</f>
        <v/>
      </c>
      <c r="J50" s="3">
        <f>IF('Heure par heure'!K50="","",'Heure par heure'!K50-N('Heure par heure'!K49))</f>
        <v/>
      </c>
      <c r="K50" s="3">
        <f>IF('Heure par heure'!L50="","",'Heure par heure'!L50-N('Heure par heure'!L49))</f>
        <v/>
      </c>
      <c r="L50" s="3">
        <f>SUM(B50:K50)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IF('Heure par heure'!E51="","",'Heure par heure'!E51-N('Heure par heure'!E50))</f>
        <v/>
      </c>
      <c r="E51" s="3">
        <f>IF('Heure par heure'!F51="","",'Heure par heure'!F51-N('Heure par heure'!F50))</f>
        <v/>
      </c>
      <c r="F51" s="3">
        <f>IF('Heure par heure'!G51="","",'Heure par heure'!G51-N('Heure par heure'!G50))</f>
        <v/>
      </c>
      <c r="G51" s="3">
        <f>IF('Heure par heure'!H51="","",'Heure par heure'!H51-N('Heure par heure'!H50))</f>
        <v/>
      </c>
      <c r="H51" s="3">
        <f>IF('Heure par heure'!I51="","",'Heure par heure'!I51-N('Heure par heure'!I50))</f>
        <v/>
      </c>
      <c r="I51" s="3">
        <f>IF('Heure par heure'!J51="","",'Heure par heure'!J51-N('Heure par heure'!J50))</f>
        <v/>
      </c>
      <c r="J51" s="3">
        <f>IF('Heure par heure'!K51="","",'Heure par heure'!K51-N('Heure par heure'!K50))</f>
        <v/>
      </c>
      <c r="K51" s="3">
        <f>IF('Heure par heure'!L51="","",'Heure par heure'!L51-N('Heure par heure'!L50))</f>
        <v/>
      </c>
      <c r="L51" s="3">
        <f>SUM(B51:K51)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IF('Heure par heure'!E52="","",'Heure par heure'!E52-N('Heure par heure'!E51))</f>
        <v/>
      </c>
      <c r="E52" s="3">
        <f>IF('Heure par heure'!F52="","",'Heure par heure'!F52-N('Heure par heure'!F51))</f>
        <v/>
      </c>
      <c r="F52" s="3">
        <f>IF('Heure par heure'!G52="","",'Heure par heure'!G52-N('Heure par heure'!G51))</f>
        <v/>
      </c>
      <c r="G52" s="3">
        <f>IF('Heure par heure'!H52="","",'Heure par heure'!H52-N('Heure par heure'!H51))</f>
        <v/>
      </c>
      <c r="H52" s="3">
        <f>IF('Heure par heure'!I52="","",'Heure par heure'!I52-N('Heure par heure'!I51))</f>
        <v/>
      </c>
      <c r="I52" s="3">
        <f>IF('Heure par heure'!J52="","",'Heure par heure'!J52-N('Heure par heure'!J51))</f>
        <v/>
      </c>
      <c r="J52" s="3">
        <f>IF('Heure par heure'!K52="","",'Heure par heure'!K52-N('Heure par heure'!K51))</f>
        <v/>
      </c>
      <c r="K52" s="3">
        <f>IF('Heure par heure'!L52="","",'Heure par heure'!L52-N('Heure par heure'!L51))</f>
        <v/>
      </c>
      <c r="L52" s="3">
        <f>SUM(B52:K52)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IF('Heure par heure'!E53="","",'Heure par heure'!E53-N('Heure par heure'!E52))</f>
        <v/>
      </c>
      <c r="E53" s="3">
        <f>IF('Heure par heure'!F53="","",'Heure par heure'!F53-N('Heure par heure'!F52))</f>
        <v/>
      </c>
      <c r="F53" s="3">
        <f>IF('Heure par heure'!G53="","",'Heure par heure'!G53-N('Heure par heure'!G52))</f>
        <v/>
      </c>
      <c r="G53" s="3">
        <f>IF('Heure par heure'!H53="","",'Heure par heure'!H53-N('Heure par heure'!H52))</f>
        <v/>
      </c>
      <c r="H53" s="3">
        <f>IF('Heure par heure'!I53="","",'Heure par heure'!I53-N('Heure par heure'!I52))</f>
        <v/>
      </c>
      <c r="I53" s="3">
        <f>IF('Heure par heure'!J53="","",'Heure par heure'!J53-N('Heure par heure'!J52))</f>
        <v/>
      </c>
      <c r="J53" s="3">
        <f>IF('Heure par heure'!K53="","",'Heure par heure'!K53-N('Heure par heure'!K52))</f>
        <v/>
      </c>
      <c r="K53" s="3">
        <f>IF('Heure par heure'!L53="","",'Heure par heure'!L53-N('Heure par heure'!L52))</f>
        <v/>
      </c>
      <c r="L53" s="3">
        <f>SUM(B53:K53)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IF('Heure par heure'!E54="","",'Heure par heure'!E54-N('Heure par heure'!E53))</f>
        <v/>
      </c>
      <c r="E54" s="3">
        <f>IF('Heure par heure'!F54="","",'Heure par heure'!F54-N('Heure par heure'!F53))</f>
        <v/>
      </c>
      <c r="F54" s="3">
        <f>IF('Heure par heure'!G54="","",'Heure par heure'!G54-N('Heure par heure'!G53))</f>
        <v/>
      </c>
      <c r="G54" s="3">
        <f>IF('Heure par heure'!H54="","",'Heure par heure'!H54-N('Heure par heure'!H53))</f>
        <v/>
      </c>
      <c r="H54" s="3">
        <f>IF('Heure par heure'!I54="","",'Heure par heure'!I54-N('Heure par heure'!I53))</f>
        <v/>
      </c>
      <c r="I54" s="3">
        <f>IF('Heure par heure'!J54="","",'Heure par heure'!J54-N('Heure par heure'!J53))</f>
        <v/>
      </c>
      <c r="J54" s="3">
        <f>IF('Heure par heure'!K54="","",'Heure par heure'!K54-N('Heure par heure'!K53))</f>
        <v/>
      </c>
      <c r="K54" s="3">
        <f>IF('Heure par heure'!L54="","",'Heure par heure'!L54-N('Heure par heure'!L53))</f>
        <v/>
      </c>
      <c r="L54" s="3">
        <f>SUM(B54:K54)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IF('Heure par heure'!E55="","",'Heure par heure'!E55-N('Heure par heure'!E54))</f>
        <v/>
      </c>
      <c r="E55" s="3">
        <f>IF('Heure par heure'!F55="","",'Heure par heure'!F55-N('Heure par heure'!F54))</f>
        <v/>
      </c>
      <c r="F55" s="3">
        <f>IF('Heure par heure'!G55="","",'Heure par heure'!G55-N('Heure par heure'!G54))</f>
        <v/>
      </c>
      <c r="G55" s="3">
        <f>IF('Heure par heure'!H55="","",'Heure par heure'!H55-N('Heure par heure'!H54))</f>
        <v/>
      </c>
      <c r="H55" s="3">
        <f>IF('Heure par heure'!I55="","",'Heure par heure'!I55-N('Heure par heure'!I54))</f>
        <v/>
      </c>
      <c r="I55" s="3">
        <f>IF('Heure par heure'!J55="","",'Heure par heure'!J55-N('Heure par heure'!J54))</f>
        <v/>
      </c>
      <c r="J55" s="3">
        <f>IF('Heure par heure'!K55="","",'Heure par heure'!K55-N('Heure par heure'!K54))</f>
        <v/>
      </c>
      <c r="K55" s="3">
        <f>IF('Heure par heure'!L55="","",'Heure par heure'!L55-N('Heure par heure'!L54))</f>
        <v/>
      </c>
      <c r="L55" s="3">
        <f>SUM(B55:K55)</f>
        <v/>
      </c>
    </row>
    <row r="56">
      <c r="A56" s="2">
        <f>'Heure par heure'!A56</f>
        <v/>
      </c>
      <c r="B56" s="3">
        <f>IF('Heure par heure'!C56="","",'Heure par heure'!C56-N('Heure par heure'!C55))</f>
        <v/>
      </c>
      <c r="C56" s="3">
        <f>IF('Heure par heure'!D56="","",'Heure par heure'!D56-N('Heure par heure'!D55))</f>
        <v/>
      </c>
      <c r="D56" s="3">
        <f>IF('Heure par heure'!E56="","",'Heure par heure'!E56-N('Heure par heure'!E55))</f>
        <v/>
      </c>
      <c r="E56" s="3">
        <f>IF('Heure par heure'!F56="","",'Heure par heure'!F56-N('Heure par heure'!F55))</f>
        <v/>
      </c>
      <c r="F56" s="3">
        <f>IF('Heure par heure'!G56="","",'Heure par heure'!G56-N('Heure par heure'!G55))</f>
        <v/>
      </c>
      <c r="G56" s="3">
        <f>IF('Heure par heure'!H56="","",'Heure par heure'!H56-N('Heure par heure'!H55))</f>
        <v/>
      </c>
      <c r="H56" s="3">
        <f>IF('Heure par heure'!I56="","",'Heure par heure'!I56-N('Heure par heure'!I55))</f>
        <v/>
      </c>
      <c r="I56" s="3">
        <f>IF('Heure par heure'!J56="","",'Heure par heure'!J56-N('Heure par heure'!J55))</f>
        <v/>
      </c>
      <c r="J56" s="3">
        <f>IF('Heure par heure'!K56="","",'Heure par heure'!K56-N('Heure par heure'!K55))</f>
        <v/>
      </c>
      <c r="K56" s="3">
        <f>IF('Heure par heure'!L56="","",'Heure par heure'!L56-N('Heure par heure'!L55))</f>
        <v/>
      </c>
      <c r="L56" s="3">
        <f>SUM(B56:K56)</f>
        <v/>
      </c>
    </row>
    <row r="57">
      <c r="A57" s="2">
        <f>'Heure par heure'!A57</f>
        <v/>
      </c>
      <c r="B57" s="3">
        <f>IF('Heure par heure'!C57="","",'Heure par heure'!C57-N('Heure par heure'!C56))</f>
        <v/>
      </c>
      <c r="C57" s="3">
        <f>IF('Heure par heure'!D57="","",'Heure par heure'!D57-N('Heure par heure'!D56))</f>
        <v/>
      </c>
      <c r="D57" s="3">
        <f>IF('Heure par heure'!E57="","",'Heure par heure'!E57-N('Heure par heure'!E56))</f>
        <v/>
      </c>
      <c r="E57" s="3">
        <f>IF('Heure par heure'!F57="","",'Heure par heure'!F57-N('Heure par heure'!F56))</f>
        <v/>
      </c>
      <c r="F57" s="3">
        <f>IF('Heure par heure'!G57="","",'Heure par heure'!G57-N('Heure par heure'!G56))</f>
        <v/>
      </c>
      <c r="G57" s="3">
        <f>IF('Heure par heure'!H57="","",'Heure par heure'!H57-N('Heure par heure'!H56))</f>
        <v/>
      </c>
      <c r="H57" s="3">
        <f>IF('Heure par heure'!I57="","",'Heure par heure'!I57-N('Heure par heure'!I56))</f>
        <v/>
      </c>
      <c r="I57" s="3">
        <f>IF('Heure par heure'!J57="","",'Heure par heure'!J57-N('Heure par heure'!J56))</f>
        <v/>
      </c>
      <c r="J57" s="3">
        <f>IF('Heure par heure'!K57="","",'Heure par heure'!K57-N('Heure par heure'!K56))</f>
        <v/>
      </c>
      <c r="K57" s="3">
        <f>IF('Heure par heure'!L57="","",'Heure par heure'!L57-N('Heure par heure'!L56))</f>
        <v/>
      </c>
      <c r="L57" s="3">
        <f>SUM(B57:K57)</f>
        <v/>
      </c>
    </row>
    <row r="58">
      <c r="A58" s="2">
        <f>'Heure par heure'!A58</f>
        <v/>
      </c>
      <c r="B58" s="3">
        <f>IF('Heure par heure'!C58="","",'Heure par heure'!C58-N('Heure par heure'!C57))</f>
        <v/>
      </c>
      <c r="C58" s="3">
        <f>IF('Heure par heure'!D58="","",'Heure par heure'!D58-N('Heure par heure'!D57))</f>
        <v/>
      </c>
      <c r="D58" s="3">
        <f>IF('Heure par heure'!E58="","",'Heure par heure'!E58-N('Heure par heure'!E57))</f>
        <v/>
      </c>
      <c r="E58" s="3">
        <f>IF('Heure par heure'!F58="","",'Heure par heure'!F58-N('Heure par heure'!F57))</f>
        <v/>
      </c>
      <c r="F58" s="3">
        <f>IF('Heure par heure'!G58="","",'Heure par heure'!G58-N('Heure par heure'!G57))</f>
        <v/>
      </c>
      <c r="G58" s="3">
        <f>IF('Heure par heure'!H58="","",'Heure par heure'!H58-N('Heure par heure'!H57))</f>
        <v/>
      </c>
      <c r="H58" s="3">
        <f>IF('Heure par heure'!I58="","",'Heure par heure'!I58-N('Heure par heure'!I57))</f>
        <v/>
      </c>
      <c r="I58" s="3">
        <f>IF('Heure par heure'!J58="","",'Heure par heure'!J58-N('Heure par heure'!J57))</f>
        <v/>
      </c>
      <c r="J58" s="3">
        <f>IF('Heure par heure'!K58="","",'Heure par heure'!K58-N('Heure par heure'!K57))</f>
        <v/>
      </c>
      <c r="K58" s="3">
        <f>IF('Heure par heure'!L58="","",'Heure par heure'!L58-N('Heure par heure'!L57))</f>
        <v/>
      </c>
      <c r="L58" s="3">
        <f>SUM(B58:K58)</f>
        <v/>
      </c>
    </row>
    <row r="59">
      <c r="A59" s="2">
        <f>'Heure par heure'!A59</f>
        <v/>
      </c>
      <c r="B59" s="3">
        <f>IF('Heure par heure'!C59="","",'Heure par heure'!C59-N('Heure par heure'!C58))</f>
        <v/>
      </c>
      <c r="C59" s="3">
        <f>IF('Heure par heure'!D59="","",'Heure par heure'!D59-N('Heure par heure'!D58))</f>
        <v/>
      </c>
      <c r="D59" s="3">
        <f>IF('Heure par heure'!E59="","",'Heure par heure'!E59-N('Heure par heure'!E58))</f>
        <v/>
      </c>
      <c r="E59" s="3">
        <f>IF('Heure par heure'!F59="","",'Heure par heure'!F59-N('Heure par heure'!F58))</f>
        <v/>
      </c>
      <c r="F59" s="3">
        <f>IF('Heure par heure'!G59="","",'Heure par heure'!G59-N('Heure par heure'!G58))</f>
        <v/>
      </c>
      <c r="G59" s="3">
        <f>IF('Heure par heure'!H59="","",'Heure par heure'!H59-N('Heure par heure'!H58))</f>
        <v/>
      </c>
      <c r="H59" s="3">
        <f>IF('Heure par heure'!I59="","",'Heure par heure'!I59-N('Heure par heure'!I58))</f>
        <v/>
      </c>
      <c r="I59" s="3">
        <f>IF('Heure par heure'!J59="","",'Heure par heure'!J59-N('Heure par heure'!J58))</f>
        <v/>
      </c>
      <c r="J59" s="3">
        <f>IF('Heure par heure'!K59="","",'Heure par heure'!K59-N('Heure par heure'!K58))</f>
        <v/>
      </c>
      <c r="K59" s="3">
        <f>IF('Heure par heure'!L59="","",'Heure par heure'!L59-N('Heure par heure'!L58))</f>
        <v/>
      </c>
      <c r="L59" s="3">
        <f>SUM(B59:K59)</f>
        <v/>
      </c>
    </row>
    <row r="60">
      <c r="A60" s="2">
        <f>'Heure par heure'!A60</f>
        <v/>
      </c>
      <c r="B60" s="3">
        <f>IF('Heure par heure'!C60="","",'Heure par heure'!C60-N('Heure par heure'!C59))</f>
        <v/>
      </c>
      <c r="C60" s="3">
        <f>IF('Heure par heure'!D60="","",'Heure par heure'!D60-N('Heure par heure'!D59))</f>
        <v/>
      </c>
      <c r="D60" s="3">
        <f>IF('Heure par heure'!E60="","",'Heure par heure'!E60-N('Heure par heure'!E59))</f>
        <v/>
      </c>
      <c r="E60" s="3">
        <f>IF('Heure par heure'!F60="","",'Heure par heure'!F60-N('Heure par heure'!F59))</f>
        <v/>
      </c>
      <c r="F60" s="3">
        <f>IF('Heure par heure'!G60="","",'Heure par heure'!G60-N('Heure par heure'!G59))</f>
        <v/>
      </c>
      <c r="G60" s="3">
        <f>IF('Heure par heure'!H60="","",'Heure par heure'!H60-N('Heure par heure'!H59))</f>
        <v/>
      </c>
      <c r="H60" s="3">
        <f>IF('Heure par heure'!I60="","",'Heure par heure'!I60-N('Heure par heure'!I59))</f>
        <v/>
      </c>
      <c r="I60" s="3">
        <f>IF('Heure par heure'!J60="","",'Heure par heure'!J60-N('Heure par heure'!J59))</f>
        <v/>
      </c>
      <c r="J60" s="3">
        <f>IF('Heure par heure'!K60="","",'Heure par heure'!K60-N('Heure par heure'!K59))</f>
        <v/>
      </c>
      <c r="K60" s="3">
        <f>IF('Heure par heure'!L60="","",'Heure par heure'!L60-N('Heure par heure'!L59))</f>
        <v/>
      </c>
      <c r="L60" s="3">
        <f>SUM(B60:K60)</f>
        <v/>
      </c>
    </row>
    <row r="61">
      <c r="A61" s="2">
        <f>'Heure par heure'!A61</f>
        <v/>
      </c>
      <c r="B61" s="3">
        <f>IF('Heure par heure'!C61="","",'Heure par heure'!C61-N('Heure par heure'!C60))</f>
        <v/>
      </c>
      <c r="C61" s="3">
        <f>IF('Heure par heure'!D61="","",'Heure par heure'!D61-N('Heure par heure'!D60))</f>
        <v/>
      </c>
      <c r="D61" s="3">
        <f>IF('Heure par heure'!E61="","",'Heure par heure'!E61-N('Heure par heure'!E60))</f>
        <v/>
      </c>
      <c r="E61" s="3">
        <f>IF('Heure par heure'!F61="","",'Heure par heure'!F61-N('Heure par heure'!F60))</f>
        <v/>
      </c>
      <c r="F61" s="3">
        <f>IF('Heure par heure'!G61="","",'Heure par heure'!G61-N('Heure par heure'!G60))</f>
        <v/>
      </c>
      <c r="G61" s="3">
        <f>IF('Heure par heure'!H61="","",'Heure par heure'!H61-N('Heure par heure'!H60))</f>
        <v/>
      </c>
      <c r="H61" s="3">
        <f>IF('Heure par heure'!I61="","",'Heure par heure'!I61-N('Heure par heure'!I60))</f>
        <v/>
      </c>
      <c r="I61" s="3">
        <f>IF('Heure par heure'!J61="","",'Heure par heure'!J61-N('Heure par heure'!J60))</f>
        <v/>
      </c>
      <c r="J61" s="3">
        <f>IF('Heure par heure'!K61="","",'Heure par heure'!K61-N('Heure par heure'!K60))</f>
        <v/>
      </c>
      <c r="K61" s="3">
        <f>IF('Heure par heure'!L61="","",'Heure par heure'!L61-N('Heure par heure'!L60))</f>
        <v/>
      </c>
      <c r="L61" s="3">
        <f>SUM(B61:K61)</f>
        <v/>
      </c>
    </row>
    <row r="62">
      <c r="A62" s="2">
        <f>'Heure par heure'!A62</f>
        <v/>
      </c>
      <c r="B62" s="3">
        <f>IF('Heure par heure'!C62="","",'Heure par heure'!C62-N('Heure par heure'!C61))</f>
        <v/>
      </c>
      <c r="C62" s="3">
        <f>IF('Heure par heure'!D62="","",'Heure par heure'!D62-N('Heure par heure'!D61))</f>
        <v/>
      </c>
      <c r="D62" s="3">
        <f>IF('Heure par heure'!E62="","",'Heure par heure'!E62-N('Heure par heure'!E61))</f>
        <v/>
      </c>
      <c r="E62" s="3">
        <f>IF('Heure par heure'!F62="","",'Heure par heure'!F62-N('Heure par heure'!F61))</f>
        <v/>
      </c>
      <c r="F62" s="3">
        <f>IF('Heure par heure'!G62="","",'Heure par heure'!G62-N('Heure par heure'!G61))</f>
        <v/>
      </c>
      <c r="G62" s="3">
        <f>IF('Heure par heure'!H62="","",'Heure par heure'!H62-N('Heure par heure'!H61))</f>
        <v/>
      </c>
      <c r="H62" s="3">
        <f>IF('Heure par heure'!I62="","",'Heure par heure'!I62-N('Heure par heure'!I61))</f>
        <v/>
      </c>
      <c r="I62" s="3">
        <f>IF('Heure par heure'!J62="","",'Heure par heure'!J62-N('Heure par heure'!J61))</f>
        <v/>
      </c>
      <c r="J62" s="3">
        <f>IF('Heure par heure'!K62="","",'Heure par heure'!K62-N('Heure par heure'!K61))</f>
        <v/>
      </c>
      <c r="K62" s="3">
        <f>IF('Heure par heure'!L62="","",'Heure par heure'!L62-N('Heure par heure'!L61))</f>
        <v/>
      </c>
      <c r="L62" s="3">
        <f>SUM(B62:K62)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2026-10-17 17:45</t>
        </is>
      </c>
      <c r="B2" s="3" t="n">
        <v>4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1</v>
      </c>
      <c r="H2" s="3" t="n">
        <v>1</v>
      </c>
      <c r="I2" s="2" t="inlineStr">
        <is>
          <t>ouvrir</t>
        </is>
      </c>
    </row>
    <row r="3">
      <c r="A3" s="2" t="inlineStr">
        <is>
          <t>2026-10-17 17:50</t>
        </is>
      </c>
      <c r="B3" s="3" t="n">
        <v>2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3</v>
      </c>
      <c r="I3" s="2" t="inlineStr">
        <is>
          <t>ouvrir</t>
        </is>
      </c>
    </row>
    <row r="4">
      <c r="A4" s="2" t="inlineStr">
        <is>
          <t>2026-10-18 10:14</t>
        </is>
      </c>
      <c r="B4" s="3" t="n">
        <v>5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1</v>
      </c>
      <c r="H4" s="3" t="n">
        <v>1</v>
      </c>
      <c r="I4" s="2" t="inlineStr">
        <is>
          <t>ouvrir</t>
        </is>
      </c>
    </row>
    <row r="5">
      <c r="A5" s="2" t="inlineStr">
        <is>
          <t>2026-10-18 10:36</t>
        </is>
      </c>
      <c r="B5" s="3" t="n">
        <v>5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1</v>
      </c>
      <c r="I5" s="2" t="inlineStr">
        <is>
          <t>ouvrir</t>
        </is>
      </c>
    </row>
    <row r="6">
      <c r="A6" s="2" t="inlineStr">
        <is>
          <t>2026-10-18 13:04</t>
        </is>
      </c>
      <c r="B6" s="3" t="n">
        <v>4</v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1</v>
      </c>
      <c r="I6" s="2" t="inlineStr">
        <is>
          <t>ouvrir</t>
        </is>
      </c>
    </row>
    <row r="7">
      <c r="A7" s="2" t="inlineStr">
        <is>
          <t>2026-10-18 13:04</t>
        </is>
      </c>
      <c r="B7" s="3" t="n">
        <v>4</v>
      </c>
      <c r="C7" s="3" t="n">
        <v>0</v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1</v>
      </c>
      <c r="I7" s="2" t="inlineStr">
        <is>
          <t>ouvrir</t>
        </is>
      </c>
    </row>
    <row r="8">
      <c r="A8" s="2" t="inlineStr">
        <is>
          <t>2026-10-18 13:53</t>
        </is>
      </c>
      <c r="B8" s="3" t="n">
        <v>4</v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2</v>
      </c>
      <c r="I8" s="2" t="inlineStr">
        <is>
          <t>ouvrir</t>
        </is>
      </c>
    </row>
    <row r="9">
      <c r="A9" s="2" t="inlineStr">
        <is>
          <t>2026-10-18 19:51</t>
        </is>
      </c>
      <c r="B9" s="3" t="n">
        <v>5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1</v>
      </c>
      <c r="I9" s="2" t="inlineStr">
        <is>
          <t>ouvrir</t>
        </is>
      </c>
    </row>
    <row r="10">
      <c r="A10" s="2" t="inlineStr">
        <is>
          <t>2026-10-18 20:19</t>
        </is>
      </c>
      <c r="B10" s="3" t="n">
        <v>5</v>
      </c>
      <c r="C10" s="3" t="n">
        <v>0</v>
      </c>
      <c r="D10" s="3" t="n">
        <v>0</v>
      </c>
      <c r="E10" s="3" t="n">
        <v>0</v>
      </c>
      <c r="F10" s="3" t="n">
        <v>0</v>
      </c>
      <c r="G10" s="3" t="n">
        <v>0</v>
      </c>
      <c r="H10" s="3" t="n">
        <v>1</v>
      </c>
      <c r="I10" s="2" t="inlineStr">
        <is>
          <t>ouvrir</t>
        </is>
      </c>
    </row>
    <row r="11">
      <c r="A11" s="2" t="inlineStr">
        <is>
          <t>2026-10-19 06:14</t>
        </is>
      </c>
      <c r="B11" s="3" t="n">
        <v>3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1</v>
      </c>
      <c r="H11" s="3" t="n">
        <v>1</v>
      </c>
      <c r="I11" s="2" t="inlineStr">
        <is>
          <t>ouvrir</t>
        </is>
      </c>
    </row>
    <row r="12">
      <c r="A12" s="2" t="inlineStr">
        <is>
          <t>2026-10-19 06:57</t>
        </is>
      </c>
      <c r="B12" s="3" t="n">
        <v>3</v>
      </c>
      <c r="C12" s="3" t="n">
        <v>0</v>
      </c>
      <c r="D12" s="3" t="n">
        <v>0</v>
      </c>
      <c r="E12" s="3" t="n">
        <v>0</v>
      </c>
      <c r="F12" s="3" t="n">
        <v>0</v>
      </c>
      <c r="G12" s="3" t="n">
        <v>1</v>
      </c>
      <c r="H12" s="3" t="n">
        <v>1</v>
      </c>
      <c r="I12" s="2" t="inlineStr">
        <is>
          <t>ouvrir</t>
        </is>
      </c>
    </row>
    <row r="13">
      <c r="A13" s="2" t="inlineStr">
        <is>
          <t>2026-10-19 08:14</t>
        </is>
      </c>
      <c r="B13" s="3" t="n">
        <v>1</v>
      </c>
      <c r="C13" s="3" t="n">
        <v>0</v>
      </c>
      <c r="D13" s="3" t="n">
        <v>0</v>
      </c>
      <c r="E13" s="3" t="n">
        <v>0</v>
      </c>
      <c r="F13" s="3" t="n">
        <v>0</v>
      </c>
      <c r="G13" s="3" t="n">
        <v>0</v>
      </c>
      <c r="H13" s="3" t="n">
        <v>1</v>
      </c>
      <c r="I13" s="2" t="inlineStr">
        <is>
          <t>ouvrir</t>
        </is>
      </c>
    </row>
    <row r="14">
      <c r="A14" s="2" t="inlineStr">
        <is>
          <t>2026-10-19 08:14</t>
        </is>
      </c>
      <c r="B14" s="3" t="n">
        <v>2</v>
      </c>
      <c r="C14" s="3" t="n">
        <v>0</v>
      </c>
      <c r="D14" s="3" t="n">
        <v>0</v>
      </c>
      <c r="E14" s="3" t="n">
        <v>0</v>
      </c>
      <c r="F14" s="3" t="n">
        <v>0</v>
      </c>
      <c r="G14" s="3" t="n">
        <v>0</v>
      </c>
      <c r="H14" s="3" t="n">
        <v>1</v>
      </c>
      <c r="I14" s="2" t="inlineStr">
        <is>
          <t>ouvrir</t>
        </is>
      </c>
    </row>
    <row r="15">
      <c r="A15" s="2" t="inlineStr">
        <is>
          <t>2026-10-19 08:18</t>
        </is>
      </c>
      <c r="B15" s="3" t="n">
        <v>1</v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0</v>
      </c>
      <c r="H15" s="3" t="n">
        <v>1</v>
      </c>
      <c r="I15" s="2" t="inlineStr">
        <is>
          <t>ouvrir</t>
        </is>
      </c>
    </row>
    <row r="16">
      <c r="A16" s="2" t="inlineStr">
        <is>
          <t>2026-10-19 09:09</t>
        </is>
      </c>
      <c r="B16" s="3" t="n">
        <v>1</v>
      </c>
      <c r="C16" s="3" t="n">
        <v>0</v>
      </c>
      <c r="D16" s="3" t="n">
        <v>0</v>
      </c>
      <c r="E16" s="3" t="n">
        <v>0</v>
      </c>
      <c r="F16" s="3" t="n">
        <v>0</v>
      </c>
      <c r="G16" s="3" t="n">
        <v>0</v>
      </c>
      <c r="H16" s="3" t="n">
        <v>0</v>
      </c>
      <c r="I16" s="2" t="inlineStr">
        <is>
          <t>ouvrir</t>
        </is>
      </c>
    </row>
    <row r="17">
      <c r="A17" s="2" t="inlineStr">
        <is>
          <t>2026-10-19 09:12</t>
        </is>
      </c>
      <c r="B17" s="3" t="n">
        <v>0</v>
      </c>
      <c r="C17" s="3" t="n">
        <v>0</v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2" t="inlineStr">
        <is>
          <t>ouvrir</t>
        </is>
      </c>
    </row>
    <row r="18">
      <c r="A18" s="2" t="inlineStr">
        <is>
          <t>2026-10-19 09:13</t>
        </is>
      </c>
      <c r="B18" s="3" t="n">
        <v>0</v>
      </c>
      <c r="C18" s="3" t="n">
        <v>0</v>
      </c>
      <c r="D18" s="3" t="n">
        <v>0</v>
      </c>
      <c r="E18" s="3" t="n">
        <v>0</v>
      </c>
      <c r="F18" s="3" t="n">
        <v>0</v>
      </c>
      <c r="G18" s="3" t="n">
        <v>0</v>
      </c>
      <c r="H18" s="3" t="n">
        <v>0</v>
      </c>
      <c r="I18" s="2" t="inlineStr">
        <is>
          <t>ouvrir</t>
        </is>
      </c>
    </row>
    <row r="19">
      <c r="A19" s="2" t="inlineStr">
        <is>
          <t>2026-10-19 12:06</t>
        </is>
      </c>
      <c r="B19" s="3" t="n">
        <v>0</v>
      </c>
      <c r="C19" s="3" t="n">
        <v>0</v>
      </c>
      <c r="D19" s="3" t="n">
        <v>0</v>
      </c>
      <c r="E19" s="3" t="n">
        <v>0</v>
      </c>
      <c r="F19" s="3" t="n">
        <v>0</v>
      </c>
      <c r="G19" s="3" t="n">
        <v>0</v>
      </c>
      <c r="H19" s="3" t="n">
        <v>0</v>
      </c>
      <c r="I19" s="2" t="inlineStr">
        <is>
          <t>ouvrir</t>
        </is>
      </c>
    </row>
    <row r="20">
      <c r="A20" s="2" t="inlineStr">
        <is>
          <t>2026-10-19 12:06</t>
        </is>
      </c>
      <c r="B20" s="3" t="n">
        <v>0</v>
      </c>
      <c r="C20" s="3" t="n">
        <v>0</v>
      </c>
      <c r="D20" s="3" t="n">
        <v>0</v>
      </c>
      <c r="E20" s="3" t="n">
        <v>0</v>
      </c>
      <c r="F20" s="3" t="n">
        <v>0</v>
      </c>
      <c r="G20" s="3" t="n">
        <v>0</v>
      </c>
      <c r="H20" s="3" t="n">
        <v>0</v>
      </c>
      <c r="I20" s="2" t="inlineStr">
        <is>
          <t>ouvrir</t>
        </is>
      </c>
    </row>
    <row r="21">
      <c r="A21" s="2" t="inlineStr">
        <is>
          <t>2026-10-19 18:00</t>
        </is>
      </c>
      <c r="B21" s="3" t="n">
        <v>3</v>
      </c>
      <c r="C21" s="3" t="n">
        <v>0</v>
      </c>
      <c r="D21" s="3" t="n">
        <v>0</v>
      </c>
      <c r="E21" s="3" t="n">
        <v>0</v>
      </c>
      <c r="F21" s="3" t="n">
        <v>0</v>
      </c>
      <c r="G21" s="3" t="n">
        <v>0</v>
      </c>
      <c r="H21" s="3" t="n">
        <v>0</v>
      </c>
      <c r="I21" s="2" t="inlineStr">
        <is>
          <t>ouvrir</t>
        </is>
      </c>
    </row>
    <row r="22">
      <c r="A22" s="2" t="inlineStr">
        <is>
          <t>2026-10-20 08:15</t>
        </is>
      </c>
      <c r="B22" s="3" t="n">
        <v>1</v>
      </c>
      <c r="C22" s="3" t="n">
        <v>0</v>
      </c>
      <c r="D22" s="3" t="n">
        <v>0</v>
      </c>
      <c r="E22" s="3" t="n">
        <v>0</v>
      </c>
      <c r="F22" s="3" t="n">
        <v>0</v>
      </c>
      <c r="G22" s="3" t="n">
        <v>0</v>
      </c>
      <c r="H22" s="3" t="n">
        <v>0</v>
      </c>
      <c r="I22" s="2" t="inlineStr">
        <is>
          <t>ouvrir</t>
        </is>
      </c>
    </row>
    <row r="23">
      <c r="A23" s="2" t="inlineStr">
        <is>
          <t>2026-10-20 10:34</t>
        </is>
      </c>
      <c r="B23" s="3" t="n">
        <v>2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1</v>
      </c>
      <c r="H23" s="3" t="n">
        <v>0</v>
      </c>
      <c r="I23" s="2" t="inlineStr">
        <is>
          <t>ouvrir</t>
        </is>
      </c>
    </row>
    <row r="24">
      <c r="A24" s="2" t="inlineStr">
        <is>
          <t>2026-10-20 10:34</t>
        </is>
      </c>
      <c r="B24" s="3" t="n">
        <v>0</v>
      </c>
      <c r="C24" s="3" t="n">
        <v>0</v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2" t="inlineStr">
        <is>
          <t>ouvrir</t>
        </is>
      </c>
    </row>
    <row r="25">
      <c r="A25" s="2" t="inlineStr">
        <is>
          <t>2026-10-20 13:38</t>
        </is>
      </c>
      <c r="B25" s="3" t="n">
        <v>0</v>
      </c>
      <c r="C25" s="3" t="n">
        <v>0</v>
      </c>
      <c r="D25" s="3" t="n">
        <v>0</v>
      </c>
      <c r="E25" s="3" t="n">
        <v>0</v>
      </c>
      <c r="F25" s="3" t="n">
        <v>0</v>
      </c>
      <c r="G25" s="3" t="n">
        <v>0</v>
      </c>
      <c r="H25" s="3" t="n">
        <v>0</v>
      </c>
      <c r="I25" s="2" t="inlineStr">
        <is>
          <t>ouvrir</t>
        </is>
      </c>
    </row>
    <row r="26">
      <c r="A26" s="2" t="inlineStr">
        <is>
          <t>2026-10-20 16:07</t>
        </is>
      </c>
      <c r="B26" s="3" t="n">
        <v>1</v>
      </c>
      <c r="C26" s="3" t="n">
        <v>0</v>
      </c>
      <c r="D26" s="3" t="n">
        <v>0</v>
      </c>
      <c r="E26" s="3" t="n">
        <v>0</v>
      </c>
      <c r="F26" s="3" t="n">
        <v>0</v>
      </c>
      <c r="G26" s="3" t="n">
        <v>0</v>
      </c>
      <c r="H26" s="3" t="n">
        <v>0</v>
      </c>
      <c r="I26" s="2" t="inlineStr">
        <is>
          <t>ouvrir</t>
        </is>
      </c>
    </row>
    <row r="27">
      <c r="A27" s="2" t="inlineStr">
        <is>
          <t>2026-10-21 07:20</t>
        </is>
      </c>
      <c r="B27" s="3" t="n">
        <v>1</v>
      </c>
      <c r="C27" s="3" t="n">
        <v>0</v>
      </c>
      <c r="D27" s="3" t="n">
        <v>0</v>
      </c>
      <c r="E27" s="3" t="n">
        <v>0</v>
      </c>
      <c r="F27" s="3" t="n">
        <v>0</v>
      </c>
      <c r="G27" s="3" t="n">
        <v>0</v>
      </c>
      <c r="H27" s="3" t="n">
        <v>0</v>
      </c>
      <c r="I27" s="2" t="inlineStr">
        <is>
          <t>ouvrir</t>
        </is>
      </c>
    </row>
    <row r="28">
      <c r="A28" s="2" t="inlineStr">
        <is>
          <t>2026-10-21 08:03</t>
        </is>
      </c>
      <c r="B28" s="3" t="n">
        <v>3</v>
      </c>
      <c r="C28" s="3" t="n">
        <v>0</v>
      </c>
      <c r="D28" s="3" t="n">
        <v>0</v>
      </c>
      <c r="E28" s="3" t="n">
        <v>0</v>
      </c>
      <c r="F28" s="3" t="n">
        <v>0</v>
      </c>
      <c r="G28" s="3" t="n">
        <v>0</v>
      </c>
      <c r="H28" s="3" t="n">
        <v>0</v>
      </c>
      <c r="I28" s="2" t="inlineStr">
        <is>
          <t>ouvrir</t>
        </is>
      </c>
    </row>
    <row r="29">
      <c r="A29" s="2" t="inlineStr">
        <is>
          <t>2026-10-21 10:05</t>
        </is>
      </c>
      <c r="B29" s="3" t="n">
        <v>2</v>
      </c>
      <c r="C29" s="3" t="n">
        <v>0</v>
      </c>
      <c r="D29" s="3" t="n">
        <v>0</v>
      </c>
      <c r="E29" s="3" t="n">
        <v>0</v>
      </c>
      <c r="F29" s="3" t="n">
        <v>0</v>
      </c>
      <c r="G29" s="3" t="n">
        <v>0</v>
      </c>
      <c r="H29" s="3" t="n">
        <v>0</v>
      </c>
      <c r="I29" s="2" t="inlineStr">
        <is>
          <t>ouvrir</t>
        </is>
      </c>
    </row>
    <row r="30">
      <c r="A30" s="2" t="inlineStr">
        <is>
          <t>2026-10-21 12:08</t>
        </is>
      </c>
      <c r="B30" s="3" t="n">
        <v>1</v>
      </c>
      <c r="C30" s="3" t="n">
        <v>0</v>
      </c>
      <c r="D30" s="3" t="n">
        <v>0</v>
      </c>
      <c r="E30" s="3" t="n">
        <v>0</v>
      </c>
      <c r="F30" s="3" t="n">
        <v>0</v>
      </c>
      <c r="G30" s="3" t="n">
        <v>0</v>
      </c>
      <c r="H30" s="3" t="n">
        <v>0</v>
      </c>
      <c r="I30" s="2" t="inlineStr">
        <is>
          <t>ouvrir</t>
        </is>
      </c>
    </row>
    <row r="31">
      <c r="A31" s="2" t="inlineStr">
        <is>
          <t>2026-10-21 15:05</t>
        </is>
      </c>
      <c r="B31" s="3" t="n">
        <v>1</v>
      </c>
      <c r="C31" s="3" t="n">
        <v>0</v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1</v>
      </c>
      <c r="I31" s="2" t="inlineStr">
        <is>
          <t>ouvrir</t>
        </is>
      </c>
    </row>
    <row r="32">
      <c r="A32" s="2" t="inlineStr">
        <is>
          <t>2026-10-21 16:09</t>
        </is>
      </c>
      <c r="B32" s="3" t="n">
        <v>1</v>
      </c>
      <c r="C32" s="3" t="n">
        <v>0</v>
      </c>
      <c r="D32" s="3" t="n">
        <v>0</v>
      </c>
      <c r="E32" s="3" t="n">
        <v>0</v>
      </c>
      <c r="F32" s="3" t="n">
        <v>0</v>
      </c>
      <c r="G32" s="3" t="n">
        <v>0</v>
      </c>
      <c r="H32" s="3" t="n">
        <v>1</v>
      </c>
      <c r="I32" s="2" t="inlineStr">
        <is>
          <t>ouvrir</t>
        </is>
      </c>
    </row>
    <row r="33">
      <c r="A33" s="2" t="inlineStr">
        <is>
          <t>2026-10-22 08:13</t>
        </is>
      </c>
      <c r="B33" s="3" t="n">
        <v>2</v>
      </c>
      <c r="C33" s="3" t="n">
        <v>0</v>
      </c>
      <c r="D33" s="3" t="n">
        <v>0</v>
      </c>
      <c r="E33" s="3" t="n">
        <v>0</v>
      </c>
      <c r="F33" s="3" t="n">
        <v>0</v>
      </c>
      <c r="G33" s="3" t="n">
        <v>0</v>
      </c>
      <c r="H33" s="3" t="n">
        <v>0</v>
      </c>
      <c r="I33" s="2" t="inlineStr">
        <is>
          <t>ouvrir</t>
        </is>
      </c>
    </row>
    <row r="34">
      <c r="A34" s="2" t="inlineStr">
        <is>
          <t>2026-10-22 12:09</t>
        </is>
      </c>
      <c r="B34" s="3" t="n">
        <v>1</v>
      </c>
      <c r="C34" s="3" t="n">
        <v>0</v>
      </c>
      <c r="D34" s="3" t="n">
        <v>0</v>
      </c>
      <c r="E34" s="3" t="n">
        <v>0</v>
      </c>
      <c r="F34" s="3" t="n">
        <v>0</v>
      </c>
      <c r="G34" s="3" t="n">
        <v>0</v>
      </c>
      <c r="H34" s="3" t="n">
        <v>0</v>
      </c>
      <c r="I34" s="2" t="inlineStr">
        <is>
          <t>ouvrir</t>
        </is>
      </c>
    </row>
    <row r="35">
      <c r="A35" s="2" t="inlineStr">
        <is>
          <t>2026-10-24 10:04</t>
        </is>
      </c>
      <c r="B35" s="3" t="n">
        <v>5</v>
      </c>
      <c r="C35" s="3" t="n">
        <v>0</v>
      </c>
      <c r="D35" s="3" t="n">
        <v>0</v>
      </c>
      <c r="E35" s="3" t="n">
        <v>0</v>
      </c>
      <c r="F35" s="3" t="n">
        <v>0</v>
      </c>
      <c r="G35" s="3" t="n">
        <v>0</v>
      </c>
      <c r="H35" s="3" t="n">
        <v>1</v>
      </c>
      <c r="I35" s="2" t="inlineStr">
        <is>
          <t>ouvrir</t>
        </is>
      </c>
    </row>
    <row r="36">
      <c r="A36" s="2" t="inlineStr">
        <is>
          <t>2026-10-24 12:31</t>
        </is>
      </c>
      <c r="B36" s="3" t="n">
        <v>2</v>
      </c>
      <c r="C36" s="3" t="n">
        <v>0</v>
      </c>
      <c r="D36" s="3" t="n">
        <v>0</v>
      </c>
      <c r="E36" s="3" t="n">
        <v>0</v>
      </c>
      <c r="F36" s="3" t="n">
        <v>0</v>
      </c>
      <c r="G36" s="3" t="n">
        <v>0</v>
      </c>
      <c r="H36" s="3" t="n">
        <v>1</v>
      </c>
      <c r="I36" s="2" t="inlineStr">
        <is>
          <t>ouvrir</t>
        </is>
      </c>
    </row>
    <row r="37">
      <c r="A37" s="2" t="inlineStr">
        <is>
          <t>2026-10-24 13:57</t>
        </is>
      </c>
      <c r="B37" s="3" t="n">
        <v>1</v>
      </c>
      <c r="C37" s="3" t="n">
        <v>0</v>
      </c>
      <c r="D37" s="3" t="n">
        <v>0</v>
      </c>
      <c r="E37" s="3" t="n">
        <v>0</v>
      </c>
      <c r="F37" s="3" t="n">
        <v>0</v>
      </c>
      <c r="G37" s="3" t="n">
        <v>0</v>
      </c>
      <c r="H37" s="3" t="n">
        <v>1</v>
      </c>
      <c r="I37" s="2" t="inlineStr">
        <is>
          <t>ouvrir</t>
        </is>
      </c>
    </row>
    <row r="38">
      <c r="A38" s="2" t="inlineStr">
        <is>
          <t>2026-10-24 13:57</t>
        </is>
      </c>
      <c r="B38" s="3" t="n">
        <v>1</v>
      </c>
      <c r="C38" s="3" t="n">
        <v>0</v>
      </c>
      <c r="D38" s="3" t="n">
        <v>0</v>
      </c>
      <c r="E38" s="3" t="n">
        <v>0</v>
      </c>
      <c r="F38" s="3" t="n">
        <v>0</v>
      </c>
      <c r="G38" s="3" t="n">
        <v>0</v>
      </c>
      <c r="H38" s="3" t="n">
        <v>1</v>
      </c>
      <c r="I38" s="2" t="inlineStr">
        <is>
          <t>ouvrir</t>
        </is>
      </c>
    </row>
    <row r="39">
      <c r="A39" s="2" t="inlineStr">
        <is>
          <t>2026-10-24 13:58</t>
        </is>
      </c>
      <c r="B39" s="3" t="n">
        <v>1</v>
      </c>
      <c r="C39" s="3" t="n">
        <v>0</v>
      </c>
      <c r="D39" s="3" t="n">
        <v>0</v>
      </c>
      <c r="E39" s="3" t="n">
        <v>0</v>
      </c>
      <c r="F39" s="3" t="n">
        <v>0</v>
      </c>
      <c r="G39" s="3" t="n">
        <v>0</v>
      </c>
      <c r="H39" s="3" t="n">
        <v>1</v>
      </c>
      <c r="I39" s="2" t="inlineStr">
        <is>
          <t>ouvrir</t>
        </is>
      </c>
    </row>
    <row r="40">
      <c r="A40" s="2" t="inlineStr">
        <is>
          <t>2026-10-24 16:57</t>
        </is>
      </c>
      <c r="B40" s="3" t="n">
        <v>1</v>
      </c>
      <c r="C40" s="3" t="n">
        <v>0</v>
      </c>
      <c r="D40" s="3" t="n">
        <v>0</v>
      </c>
      <c r="E40" s="3" t="n">
        <v>0</v>
      </c>
      <c r="F40" s="3" t="n">
        <v>0</v>
      </c>
      <c r="G40" s="3" t="n">
        <v>0</v>
      </c>
      <c r="H40" s="3" t="n">
        <v>0</v>
      </c>
      <c r="I40" s="2" t="inlineStr">
        <is>
          <t>ouvrir</t>
        </is>
      </c>
    </row>
    <row r="41">
      <c r="A41" s="2" t="inlineStr">
        <is>
          <t>2026-10-24 18:15</t>
        </is>
      </c>
      <c r="B41" s="3" t="n">
        <v>1</v>
      </c>
      <c r="C41" s="3" t="n">
        <v>0</v>
      </c>
      <c r="D41" s="3" t="n">
        <v>0</v>
      </c>
      <c r="E41" s="3" t="n">
        <v>0</v>
      </c>
      <c r="F41" s="3" t="n">
        <v>0</v>
      </c>
      <c r="G41" s="3" t="n">
        <v>0</v>
      </c>
      <c r="H41" s="3" t="n">
        <v>0</v>
      </c>
      <c r="I41" s="2" t="inlineStr">
        <is>
          <t>ouvrir</t>
        </is>
      </c>
    </row>
    <row r="42">
      <c r="A42" s="2" t="inlineStr">
        <is>
          <t>2026-10-25 13:08</t>
        </is>
      </c>
      <c r="B42" s="3" t="n">
        <v>1</v>
      </c>
      <c r="C42" s="3" t="n">
        <v>0</v>
      </c>
      <c r="D42" s="3" t="n">
        <v>0</v>
      </c>
      <c r="E42" s="3" t="n">
        <v>0</v>
      </c>
      <c r="F42" s="3" t="n">
        <v>0</v>
      </c>
      <c r="G42" s="3" t="n">
        <v>0</v>
      </c>
      <c r="H42" s="3" t="n">
        <v>0</v>
      </c>
      <c r="I42" s="2" t="inlineStr">
        <is>
          <t>ouvrir</t>
        </is>
      </c>
    </row>
    <row r="43">
      <c r="A43" s="2" t="inlineStr">
        <is>
          <t>2026-10-25 13:58</t>
        </is>
      </c>
      <c r="B43" s="3" t="n">
        <v>1</v>
      </c>
      <c r="C43" s="3" t="n">
        <v>0</v>
      </c>
      <c r="D43" s="3" t="n">
        <v>0</v>
      </c>
      <c r="E43" s="3" t="n">
        <v>0</v>
      </c>
      <c r="F43" s="3" t="n">
        <v>0</v>
      </c>
      <c r="G43" s="3" t="n">
        <v>0</v>
      </c>
      <c r="H43" s="3" t="n">
        <v>0</v>
      </c>
      <c r="I43" s="2" t="inlineStr">
        <is>
          <t>ouvrir</t>
        </is>
      </c>
    </row>
    <row r="44">
      <c r="A44" s="2" t="inlineStr">
        <is>
          <t>2026-10-25 14:00</t>
        </is>
      </c>
      <c r="B44" s="3" t="n">
        <v>1</v>
      </c>
      <c r="C44" s="3" t="n">
        <v>0</v>
      </c>
      <c r="D44" s="3" t="n">
        <v>0</v>
      </c>
      <c r="E44" s="3" t="n">
        <v>0</v>
      </c>
      <c r="F44" s="3" t="n">
        <v>0</v>
      </c>
      <c r="G44" s="3" t="n">
        <v>0</v>
      </c>
      <c r="H44" s="3" t="n">
        <v>0</v>
      </c>
      <c r="I44" s="2" t="inlineStr">
        <is>
          <t>ouvrir</t>
        </is>
      </c>
    </row>
    <row r="45">
      <c r="A45" s="2" t="inlineStr">
        <is>
          <t>2026-10-25 14:25</t>
        </is>
      </c>
      <c r="B45" s="3" t="n">
        <v>1</v>
      </c>
      <c r="C45" s="3" t="n">
        <v>0</v>
      </c>
      <c r="D45" s="3" t="n">
        <v>0</v>
      </c>
      <c r="E45" s="3" t="n">
        <v>0</v>
      </c>
      <c r="F45" s="3" t="n">
        <v>0</v>
      </c>
      <c r="G45" s="3" t="n">
        <v>0</v>
      </c>
      <c r="H45" s="3" t="n">
        <v>0</v>
      </c>
      <c r="I45" s="2" t="inlineStr">
        <is>
          <t>ouvrir</t>
        </is>
      </c>
    </row>
    <row r="46">
      <c r="A46" s="2" t="inlineStr">
        <is>
          <t>2026-10-25 17:26</t>
        </is>
      </c>
      <c r="B46" s="3" t="n">
        <v>1</v>
      </c>
      <c r="C46" s="3" t="n">
        <v>0</v>
      </c>
      <c r="D46" s="3" t="n">
        <v>0</v>
      </c>
      <c r="E46" s="3" t="n">
        <v>0</v>
      </c>
      <c r="F46" s="3" t="n">
        <v>0</v>
      </c>
      <c r="G46" s="3" t="n">
        <v>0</v>
      </c>
      <c r="H46" s="3" t="n">
        <v>1</v>
      </c>
      <c r="I46" s="2" t="inlineStr">
        <is>
          <t>ouvrir</t>
        </is>
      </c>
    </row>
    <row r="47">
      <c r="A47" s="2" t="inlineStr">
        <is>
          <t>2026-10-27 07:09</t>
        </is>
      </c>
      <c r="B47" s="3" t="n">
        <v>0</v>
      </c>
      <c r="C47" s="3" t="n">
        <v>0</v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2" t="inlineStr">
        <is>
          <t>ouvrir</t>
        </is>
      </c>
    </row>
    <row r="48">
      <c r="A48" s="2" t="inlineStr">
        <is>
          <t>2026-10-27 11:11</t>
        </is>
      </c>
      <c r="B48" s="3" t="n">
        <v>1</v>
      </c>
      <c r="C48" s="3" t="n">
        <v>0</v>
      </c>
      <c r="D48" s="3" t="n">
        <v>0</v>
      </c>
      <c r="E48" s="3" t="n">
        <v>0</v>
      </c>
      <c r="F48" s="3" t="n">
        <v>0</v>
      </c>
      <c r="G48" s="3" t="n">
        <v>0</v>
      </c>
      <c r="H48" s="3" t="n">
        <v>0</v>
      </c>
      <c r="I48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</hyperlinks>
  <pageMargins left="0.75" right="0.75" top="1" bottom="1" header="0.5" footer="0.5"/>
  <drawing xmlns:r="http://schemas.openxmlformats.org/officeDocument/2006/relationships" r:id="rId48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· Actu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2026-10-28T11:35:42Z</dcterms:created>
  <dcterms:modified xsi:type="dcterms:W3CDTF">2026-10-28T11:35:42Z</dcterms:modified>
</cp:coreProperties>
</file>