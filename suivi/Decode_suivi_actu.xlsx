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jour'!$E$2:$E$14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jour'!$L$2:$L$14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jour'!$F$2:$F$14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jour'!$H$2:$H$14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jour'!$C$2:$C$14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'Vidéos'!$D$2:$D$26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'Vidéos'!$F$2:$F$26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'Vidéos'!$G$2:$G$26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'Vidéos'!$H$2:$H$26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'Vidéos'!$I$2:$I$26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'Vidéos'!$K$2:$K$26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vidéo'!$B$2:$B$14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vidéo'!$C$2:$C$14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vidéo'!$D$2:$D$14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vidéo'!$E$2:$E$14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vidéo'!$F$2:$F$14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vidéo'!$G$2:$G$14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vidéo'!$H$2:$H$14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vidéo'!$I$2:$I$14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vidéo'!$J$2:$J$14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vidéo'!$K$2:$K$14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vidéo'!$L$2:$L$14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vidéo'!$M$2:$M$14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vidéo'!$N$2:$N$14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vidéo'!$O$2:$O$14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vidéo'!$P$2:$P$14</f>
            </numRef>
          </val>
        </ser>
        <ser>
          <idx val="15"/>
          <order val="15"/>
          <tx>
            <strRef>
              <f>'Évolution par vidéo'!Q1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vidéo'!$Q$2:$Q$14</f>
            </numRef>
          </val>
        </ser>
        <ser>
          <idx val="16"/>
          <order val="16"/>
          <tx>
            <strRef>
              <f>'Évolution par vidéo'!R1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vidéo'!$R$2:$R$14</f>
            </numRef>
          </val>
        </ser>
        <ser>
          <idx val="17"/>
          <order val="17"/>
          <tx>
            <strRef>
              <f>'Évolution par vidéo'!S1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vidéo'!$S$2:$S$14</f>
            </numRef>
          </val>
        </ser>
        <ser>
          <idx val="18"/>
          <order val="18"/>
          <tx>
            <strRef>
              <f>'Évolution par vidéo'!T1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vidéo'!$T$2:$T$14</f>
            </numRef>
          </val>
        </ser>
        <ser>
          <idx val="19"/>
          <order val="19"/>
          <tx>
            <strRef>
              <f>'Évolution par vidéo'!U1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vidéo'!$U$2:$U$14</f>
            </numRef>
          </val>
        </ser>
        <ser>
          <idx val="20"/>
          <order val="20"/>
          <tx>
            <strRef>
              <f>'Évolution par vidéo'!V1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vidéo'!$V$2:$V$14</f>
            </numRef>
          </val>
        </ser>
        <ser>
          <idx val="21"/>
          <order val="21"/>
          <tx>
            <strRef>
              <f>'Évolution par vidéo'!W1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vidéo'!$W$2:$W$14</f>
            </numRef>
          </val>
        </ser>
        <ser>
          <idx val="22"/>
          <order val="22"/>
          <tx>
            <strRef>
              <f>'Évolution par vidéo'!X1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vidéo'!$X$2:$X$14</f>
            </numRef>
          </val>
        </ser>
        <ser>
          <idx val="23"/>
          <order val="23"/>
          <tx>
            <strRef>
              <f>'Évolution par vidéo'!Y1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vidéo'!$Y$2:$Y$14</f>
            </numRef>
          </val>
        </ser>
        <ser>
          <idx val="24"/>
          <order val="24"/>
          <tx>
            <strRef>
              <f>'Évolution par vidéo'!Z1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vidéo'!$Z$2:$Z$14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vidéo'!$B$2:$B$14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vidéo'!$C$2:$C$14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vidéo'!$D$2:$D$14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vidéo'!$E$2:$E$14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vidéo'!$F$2:$F$14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vidéo'!$G$2:$G$14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vidéo'!$H$2:$H$14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vidéo'!$I$2:$I$14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vidéo'!$J$2:$J$14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vidéo'!$K$2:$K$14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vidéo'!$L$2:$L$14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vidéo'!$M$2:$M$14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vidéo'!$N$2:$N$14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vidéo'!$O$2:$O$14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vidéo'!$P$2:$P$14</f>
            </numRef>
          </val>
        </ser>
        <ser>
          <idx val="15"/>
          <order val="15"/>
          <tx>
            <strRef>
              <f>'Vues du jour par vidéo'!Q1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vidéo'!$Q$2:$Q$14</f>
            </numRef>
          </val>
        </ser>
        <ser>
          <idx val="16"/>
          <order val="16"/>
          <tx>
            <strRef>
              <f>'Vues du jour par vidéo'!R1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vidéo'!$R$2:$R$14</f>
            </numRef>
          </val>
        </ser>
        <ser>
          <idx val="17"/>
          <order val="17"/>
          <tx>
            <strRef>
              <f>'Vues du jour par vidéo'!S1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vidéo'!$S$2:$S$14</f>
            </numRef>
          </val>
        </ser>
        <ser>
          <idx val="18"/>
          <order val="18"/>
          <tx>
            <strRef>
              <f>'Vues du jour par vidéo'!T1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vidéo'!$T$2:$T$14</f>
            </numRef>
          </val>
        </ser>
        <ser>
          <idx val="19"/>
          <order val="19"/>
          <tx>
            <strRef>
              <f>'Vues du jour par vidéo'!U1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vidéo'!$U$2:$U$14</f>
            </numRef>
          </val>
        </ser>
        <ser>
          <idx val="20"/>
          <order val="20"/>
          <tx>
            <strRef>
              <f>'Vues du jour par vidéo'!V1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vidéo'!$V$2:$V$14</f>
            </numRef>
          </val>
        </ser>
        <ser>
          <idx val="21"/>
          <order val="21"/>
          <tx>
            <strRef>
              <f>'Vues du jour par vidéo'!W1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vidéo'!$W$2:$W$14</f>
            </numRef>
          </val>
        </ser>
        <ser>
          <idx val="22"/>
          <order val="22"/>
          <tx>
            <strRef>
              <f>'Vues du jour par vidéo'!X1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vidéo'!$X$2:$X$14</f>
            </numRef>
          </val>
        </ser>
        <ser>
          <idx val="23"/>
          <order val="23"/>
          <tx>
            <strRef>
              <f>'Vues du jour par vidéo'!Y1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vidéo'!$Y$2:$Y$14</f>
            </numRef>
          </val>
        </ser>
        <ser>
          <idx val="24"/>
          <order val="24"/>
          <tx>
            <strRef>
              <f>'Vues du jour par vidéo'!Z1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vidéo'!$Z$2:$Z$14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heure'!$A$2:$A$106</f>
            </numRef>
          </cat>
          <val>
            <numRef>
              <f>'Heure par heure'!$C$2:$C$106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heure'!$A$2:$A$106</f>
            </numRef>
          </cat>
          <val>
            <numRef>
              <f>'Heure par heure'!$D$2:$D$106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heure'!$A$2:$A$106</f>
            </numRef>
          </cat>
          <val>
            <numRef>
              <f>'Heure par heure'!$E$2:$E$106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heure'!$A$2:$A$106</f>
            </numRef>
          </cat>
          <val>
            <numRef>
              <f>'Heure par heure'!$F$2:$F$106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heure'!$A$2:$A$106</f>
            </numRef>
          </cat>
          <val>
            <numRef>
              <f>'Heure par heure'!$G$2:$G$106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heure'!$A$2:$A$106</f>
            </numRef>
          </cat>
          <val>
            <numRef>
              <f>'Heure par heure'!$H$2:$H$106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heure'!$A$2:$A$106</f>
            </numRef>
          </cat>
          <val>
            <numRef>
              <f>'Heure par heure'!$I$2:$I$106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heure'!$A$2:$A$106</f>
            </numRef>
          </cat>
          <val>
            <numRef>
              <f>'Heure par heure'!$J$2:$J$106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heure'!$A$2:$A$106</f>
            </numRef>
          </cat>
          <val>
            <numRef>
              <f>'Heure par heure'!$K$2:$K$106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heure'!$A$2:$A$106</f>
            </numRef>
          </cat>
          <val>
            <numRef>
              <f>'Heure par heure'!$L$2:$L$106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heure'!$A$2:$A$106</f>
            </numRef>
          </cat>
          <val>
            <numRef>
              <f>'Heure par heure'!$B$2:$B$106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heure'!$A$2:$A$106</f>
            </numRef>
          </cat>
          <val>
            <numRef>
              <f>'Heure par heure'!$M$2:$M$106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heure'!$A$2:$A$106</f>
            </numRef>
          </cat>
          <val>
            <numRef>
              <f>'Vues gagnées par heure'!$B$2:$B$106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heure'!$A$2:$A$106</f>
            </numRef>
          </cat>
          <val>
            <numRef>
              <f>'Vues gagnées par heure'!$C$2:$C$106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heure'!$A$2:$A$106</f>
            </numRef>
          </cat>
          <val>
            <numRef>
              <f>'Vues gagnées par heure'!$D$2:$D$106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heure'!$A$2:$A$106</f>
            </numRef>
          </cat>
          <val>
            <numRef>
              <f>'Vues gagnées par heure'!$E$2:$E$106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heure'!$A$2:$A$106</f>
            </numRef>
          </cat>
          <val>
            <numRef>
              <f>'Vues gagnées par heure'!$F$2:$F$106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heure'!$A$2:$A$106</f>
            </numRef>
          </cat>
          <val>
            <numRef>
              <f>'Vues gagnées par heure'!$G$2:$G$106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heure'!$A$2:$A$106</f>
            </numRef>
          </cat>
          <val>
            <numRef>
              <f>'Vues gagnées par heure'!$H$2:$H$106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heure'!$A$2:$A$106</f>
            </numRef>
          </cat>
          <val>
            <numRef>
              <f>'Vues gagnées par heure'!$I$2:$I$106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heure'!$A$2:$A$106</f>
            </numRef>
          </cat>
          <val>
            <numRef>
              <f>'Vues gagnées par heure'!$J$2:$J$106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heure'!$A$2:$A$106</f>
            </numRef>
          </cat>
          <val>
            <numRef>
              <f>'Vues gagnées par heure'!$K$2:$K$106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125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125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m0qqtFULu/" TargetMode="External" Id="rId1" /><Relationship Type="http://schemas.openxmlformats.org/officeDocument/2006/relationships/hyperlink" Target="https://www.instagram.com/reel/DeocTD9jGCs/" TargetMode="External" Id="rId2" /><Relationship Type="http://schemas.openxmlformats.org/officeDocument/2006/relationships/hyperlink" Target="https://www.instagram.com/reel/DeoeolIgUGY/" TargetMode="External" Id="rId3" /><Relationship Type="http://schemas.openxmlformats.org/officeDocument/2006/relationships/hyperlink" Target="https://www.instagram.com/reel/DeovxcBkRv_/" TargetMode="External" Id="rId4" /><Relationship Type="http://schemas.openxmlformats.org/officeDocument/2006/relationships/hyperlink" Target="https://www.instagram.com/reel/Deo1Sr6iZnW/" TargetMode="External" Id="rId5" /><Relationship Type="http://schemas.openxmlformats.org/officeDocument/2006/relationships/hyperlink" Target="https://www.instagram.com/reel/DephiMUiZlP/" TargetMode="External" Id="rId6" /><Relationship Type="http://schemas.openxmlformats.org/officeDocument/2006/relationships/hyperlink" Target="https://www.instagram.com/reel/DeqltD5CUh1/" TargetMode="External" Id="rId7" /><Relationship Type="http://schemas.openxmlformats.org/officeDocument/2006/relationships/hyperlink" Target="https://www.instagram.com/reel/DeqzZwwgNZA/" TargetMode="External" Id="rId8" /><Relationship Type="http://schemas.openxmlformats.org/officeDocument/2006/relationships/hyperlink" Target="https://www.instagram.com/reel/Deq5shWj03J/" TargetMode="External" Id="rId9" /><Relationship Type="http://schemas.openxmlformats.org/officeDocument/2006/relationships/hyperlink" Target="https://www.instagram.com/reel/DerN1lWgqYL/" TargetMode="External" Id="rId10" /><Relationship Type="http://schemas.openxmlformats.org/officeDocument/2006/relationships/hyperlink" Target="https://www.instagram.com/reel/Der2bYjllOT/" TargetMode="External" Id="rId11" /><Relationship Type="http://schemas.openxmlformats.org/officeDocument/2006/relationships/hyperlink" Target="https://www.instagram.com/reel/DetoG3RDRGR/" TargetMode="External" Id="rId12" /><Relationship Type="http://schemas.openxmlformats.org/officeDocument/2006/relationships/hyperlink" Target="https://www.instagram.com/reel/DeuORmrje2X/" TargetMode="External" Id="rId13" /><Relationship Type="http://schemas.openxmlformats.org/officeDocument/2006/relationships/hyperlink" Target="https://www.instagram.com/reel/Dev7vAwiHPF/" TargetMode="External" Id="rId14" /><Relationship Type="http://schemas.openxmlformats.org/officeDocument/2006/relationships/hyperlink" Target="https://www.instagram.com/reel/DewXqdggjen/" TargetMode="External" Id="rId15" /><Relationship Type="http://schemas.openxmlformats.org/officeDocument/2006/relationships/hyperlink" Target="https://www.instagram.com/reel/DewzPEDkwDC/" TargetMode="External" Id="rId16" /><Relationship Type="http://schemas.openxmlformats.org/officeDocument/2006/relationships/hyperlink" Target="https://www.instagram.com/reel/Dey8pqJjxZe/" TargetMode="External" Id="rId17" /><Relationship Type="http://schemas.openxmlformats.org/officeDocument/2006/relationships/hyperlink" Target="https://www.instagram.com/reel/De4IrjoAfMV/" TargetMode="External" Id="rId18" /><Relationship Type="http://schemas.openxmlformats.org/officeDocument/2006/relationships/hyperlink" Target="https://www.instagram.com/reel/De4SjlaiLAP/" TargetMode="External" Id="rId19" /><Relationship Type="http://schemas.openxmlformats.org/officeDocument/2006/relationships/hyperlink" Target="https://www.instagram.com/reel/De4wFkgEjfv/" TargetMode="External" Id="rId20" /><Relationship Type="http://schemas.openxmlformats.org/officeDocument/2006/relationships/hyperlink" Target="https://www.instagram.com/reel/De63hUGjyxb/" TargetMode="External" Id="rId21" /><Relationship Type="http://schemas.openxmlformats.org/officeDocument/2006/relationships/hyperlink" Target="https://www.instagram.com/reel/De63r8EkQ6Y/" TargetMode="External" Id="rId22" /><Relationship Type="http://schemas.openxmlformats.org/officeDocument/2006/relationships/hyperlink" Target="https://www.instagram.com/reel/De7PS5wCqiN/" TargetMode="External" Id="rId23" /><Relationship Type="http://schemas.openxmlformats.org/officeDocument/2006/relationships/hyperlink" Target="https://www.instagram.com/reel/De_SOGKACX-/" TargetMode="External" Id="rId24" /><Relationship Type="http://schemas.openxmlformats.org/officeDocument/2006/relationships/hyperlink" Target="https://www.instagram.com/reel/DfEhKWcjNRz/" TargetMode="External" Id="rId25" /><Relationship Type="http://schemas.openxmlformats.org/officeDocument/2006/relationships/drawing" Target="/xl/drawings/drawing2.xml" Id="rId2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  <row r="14">
      <c r="A14" s="2" t="inlineStr">
        <is>
          <t>2026-10-30</t>
        </is>
      </c>
      <c r="B14" s="3" t="n">
        <v>7</v>
      </c>
      <c r="C14" s="3">
        <f>IF(ROW()=2,"",B14-B13)</f>
        <v/>
      </c>
      <c r="D14" s="3" t="n">
        <v>4349</v>
      </c>
      <c r="E14" s="3">
        <f>IF(ROW()=2,D14,D14-D13)</f>
        <v/>
      </c>
      <c r="F14" s="3" t="n">
        <v>107</v>
      </c>
      <c r="G14" s="3" t="n">
        <v>113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2026-10-17 19:08</t>
        </is>
      </c>
      <c r="B2" s="2" t="inlineStr">
        <is>
          <t>⚠️ Contenu effrayant… ou pas ? Le 17 octobre,</t>
        </is>
      </c>
      <c r="C2" s="4" t="inlineStr">
        <is>
          <t>ouvrir</t>
        </is>
      </c>
      <c r="D2" s="3" t="n">
        <v>348</v>
      </c>
      <c r="E2" s="3" t="n">
        <v>305</v>
      </c>
      <c r="F2" s="3" t="n">
        <v>4</v>
      </c>
      <c r="G2" s="3" t="n">
        <v>0</v>
      </c>
      <c r="H2" s="3" t="n">
        <v>0</v>
      </c>
      <c r="I2" s="3" t="n">
        <v>0</v>
      </c>
      <c r="J2" s="3" t="n">
        <v>4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10:14</t>
        </is>
      </c>
      <c r="B3" s="2" t="inlineStr">
        <is>
          <t>FLASH SPÉCIAL 🚨 550 000 ou 800 000 ? Le bilan</t>
        </is>
      </c>
      <c r="C3" s="4" t="inlineStr">
        <is>
          <t>ouvrir</t>
        </is>
      </c>
      <c r="D3" s="3" t="n">
        <v>133</v>
      </c>
      <c r="E3" s="3" t="n">
        <v>121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10:34</t>
        </is>
      </c>
      <c r="B4" s="2" t="inlineStr">
        <is>
          <t>POV : ta mamie t'écrit « ma retraite va baiss</t>
        </is>
      </c>
      <c r="C4" s="4" t="inlineStr">
        <is>
          <t>ouvrir</t>
        </is>
      </c>
      <c r="D4" s="3" t="n">
        <v>120</v>
      </c>
      <c r="E4" s="3" t="n">
        <v>115</v>
      </c>
      <c r="F4" s="3" t="n">
        <v>2</v>
      </c>
      <c r="G4" s="3" t="n">
        <v>0</v>
      </c>
      <c r="H4" s="3" t="n">
        <v>0</v>
      </c>
      <c r="I4" s="3" t="n">
        <v>0</v>
      </c>
      <c r="J4" s="3" t="n">
        <v>2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13:04</t>
        </is>
      </c>
      <c r="B5" s="2" t="inlineStr">
        <is>
          <t>👻 On ne parle que des casseurs… et les revend</t>
        </is>
      </c>
      <c r="C5" s="4" t="inlineStr">
        <is>
          <t>ouvrir</t>
        </is>
      </c>
      <c r="D5" s="3" t="n">
        <v>191</v>
      </c>
      <c r="E5" s="3" t="n">
        <v>171</v>
      </c>
      <c r="F5" s="3" t="n">
        <v>4</v>
      </c>
      <c r="G5" s="3" t="n">
        <v>0</v>
      </c>
      <c r="H5" s="3" t="n">
        <v>0</v>
      </c>
      <c r="I5" s="3" t="n">
        <v>0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2026-10-18 13:52</t>
        </is>
      </c>
      <c r="B6" s="2" t="inlineStr">
        <is>
          <t>👑 Vendredi soir : Macron au concert de Céline</t>
        </is>
      </c>
      <c r="C6" s="4" t="inlineStr">
        <is>
          <t>ouvrir</t>
        </is>
      </c>
      <c r="D6" s="3" t="n">
        <v>1156</v>
      </c>
      <c r="E6" s="3" t="n">
        <v>1003</v>
      </c>
      <c r="F6" s="3" t="n">
        <v>17</v>
      </c>
      <c r="G6" s="3" t="n">
        <v>2</v>
      </c>
      <c r="H6" s="3" t="n">
        <v>0</v>
      </c>
      <c r="I6" s="3" t="n">
        <v>0</v>
      </c>
      <c r="J6" s="3" t="n">
        <v>20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2026-10-18 20:18</t>
        </is>
      </c>
      <c r="B7" s="2" t="inlineStr">
        <is>
          <t>😱 Ma réaction à ce qui t'attend le 1er novemb</t>
        </is>
      </c>
      <c r="C7" s="4" t="inlineStr">
        <is>
          <t>ouvrir</t>
        </is>
      </c>
      <c r="D7" s="3" t="n">
        <v>121</v>
      </c>
      <c r="E7" s="3" t="n">
        <v>109</v>
      </c>
      <c r="F7" s="3" t="n">
        <v>2</v>
      </c>
      <c r="G7" s="3" t="n">
        <v>0</v>
      </c>
      <c r="H7" s="3" t="n">
        <v>0</v>
      </c>
      <c r="I7" s="3" t="n">
        <v>0</v>
      </c>
      <c r="J7" s="3" t="n">
        <v>2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06:14</t>
        </is>
      </c>
      <c r="B8" s="2" t="inlineStr">
        <is>
          <t>🧮 Quiz : ta manif dégénère et tu restes après</t>
        </is>
      </c>
      <c r="C8" s="4" t="inlineStr">
        <is>
          <t>ouvrir</t>
        </is>
      </c>
      <c r="D8" s="3" t="n">
        <v>110</v>
      </c>
      <c r="E8" s="3" t="n">
        <v>104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08:14</t>
        </is>
      </c>
      <c r="B9" s="2" t="inlineStr">
        <is>
          <t>Et soudain, 718 stations sans gazole. Ta stat</t>
        </is>
      </c>
      <c r="C9" s="4" t="inlineStr">
        <is>
          <t>ouvrir</t>
        </is>
      </c>
      <c r="D9" s="3" t="n">
        <v>86</v>
      </c>
      <c r="E9" s="3" t="n">
        <v>82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09:09</t>
        </is>
      </c>
      <c r="B10" s="2" t="inlineStr">
        <is>
          <t>Les vitrines d'abord. Toi, après. Pour les co</t>
        </is>
      </c>
      <c r="C10" s="4" t="inlineStr">
        <is>
          <t>ouvrir</t>
        </is>
      </c>
      <c r="D10" s="3" t="n">
        <v>113</v>
      </c>
      <c r="E10" s="3" t="n">
        <v>100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2026-10-19 12:05</t>
        </is>
      </c>
      <c r="B11" s="2" t="inlineStr">
        <is>
          <t xml:space="preserve">📩 « Jeudi 5 novembre, la France s'arrête. -A </t>
        </is>
      </c>
      <c r="C11" s="4" t="inlineStr">
        <is>
          <t>ouvrir</t>
        </is>
      </c>
      <c r="D11" s="3" t="n">
        <v>111</v>
      </c>
      <c r="E11" s="3" t="n">
        <v>104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2026-10-19 17:59</t>
        </is>
      </c>
      <c r="B12" s="2" t="inlineStr">
        <is>
          <t>📖 Il était une fois des agriculteurs en colèr</t>
        </is>
      </c>
      <c r="C12" s="4" t="inlineStr">
        <is>
          <t>ouvrir</t>
        </is>
      </c>
      <c r="D12" s="3" t="n">
        <v>79</v>
      </c>
      <c r="E12" s="3" t="n">
        <v>71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2026-10-20 10:33</t>
        </is>
      </c>
      <c r="B13" s="2" t="inlineStr">
        <is>
          <t>Couvre-feux, manifs « encadrées, voire interd</t>
        </is>
      </c>
      <c r="C13" s="4" t="inlineStr">
        <is>
          <t>ouvrir</t>
        </is>
      </c>
      <c r="D13" s="3" t="n">
        <v>158</v>
      </c>
      <c r="E13" s="3" t="n">
        <v>141</v>
      </c>
      <c r="F13" s="3" t="n">
        <v>2</v>
      </c>
      <c r="G13" s="3" t="n">
        <v>0</v>
      </c>
      <c r="H13" s="3" t="n">
        <v>0</v>
      </c>
      <c r="I13" s="3" t="n">
        <v>2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2026-10-20 16:07</t>
        </is>
      </c>
      <c r="B14" s="2" t="inlineStr">
        <is>
          <t>Couvre-feu pour les ados, 5,6 milliards envol</t>
        </is>
      </c>
      <c r="C14" s="4" t="inlineStr">
        <is>
          <t>ouvrir</t>
        </is>
      </c>
      <c r="D14" s="3" t="n">
        <v>108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2026-10-21 08:03</t>
        </is>
      </c>
      <c r="B15" s="2" t="inlineStr">
        <is>
          <t>Les syndicats de salariés auraient-ils dû êtr</t>
        </is>
      </c>
      <c r="C15" s="4" t="inlineStr">
        <is>
          <t>ouvrir</t>
        </is>
      </c>
      <c r="D15" s="3" t="n">
        <v>105</v>
      </c>
      <c r="E15" s="3" t="n">
        <v>87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2026-10-21 12:07</t>
        </is>
      </c>
      <c r="B16" s="2" t="inlineStr">
        <is>
          <t>À toi de juger : taxer les profits du pétrole</t>
        </is>
      </c>
      <c r="C16" s="4" t="inlineStr">
        <is>
          <t>ouvrir</t>
        </is>
      </c>
      <c r="D16" s="3" t="n">
        <v>128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1</v>
      </c>
      <c r="K16" s="5">
        <f>IFERROR((F16+G16+H16+I16)/IF(E16&gt;0,E16,D16),0)</f>
        <v/>
      </c>
      <c r="L16" s="6">
        <f>IFERROR(D16/E16,0)</f>
        <v/>
      </c>
    </row>
    <row r="17">
      <c r="A17" s="2" t="inlineStr">
        <is>
          <t>2026-10-21 16:08</t>
        </is>
      </c>
      <c r="B17" s="2" t="inlineStr">
        <is>
          <t>Gel des pensions : oui ou non ? Réponds en co</t>
        </is>
      </c>
      <c r="C17" s="4" t="inlineStr">
        <is>
          <t>ouvrir</t>
        </is>
      </c>
      <c r="D17" s="3" t="n">
        <v>114</v>
      </c>
      <c r="E17" s="3" t="n">
        <v>108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5">
        <f>IFERROR((F17+G17+H17+I17)/IF(E17&gt;0,E17,D17),0)</f>
        <v/>
      </c>
      <c r="L17" s="6">
        <f>IFERROR(D17/E17,0)</f>
        <v/>
      </c>
    </row>
    <row r="18">
      <c r="A18" s="2" t="inlineStr">
        <is>
          <t>2026-10-22 12:09</t>
        </is>
      </c>
      <c r="B18" s="2" t="inlineStr">
        <is>
          <t>Couper les réseaux sociaux pendant les émeute</t>
        </is>
      </c>
      <c r="C18" s="4" t="inlineStr">
        <is>
          <t>ouvrir</t>
        </is>
      </c>
      <c r="D18" s="3" t="n">
        <v>76</v>
      </c>
      <c r="E18" s="3" t="n">
        <v>70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5">
        <f>IFERROR((F18+G18+H18+I18)/IF(E18&gt;0,E18,D18),0)</f>
        <v/>
      </c>
      <c r="L18" s="6">
        <f>IFERROR(D18/E18,0)</f>
        <v/>
      </c>
    </row>
    <row r="19">
      <c r="A19" s="2" t="inlineStr">
        <is>
          <t>2026-10-24 12:30</t>
        </is>
      </c>
      <c r="B19" s="2" t="inlineStr">
        <is>
          <t>À toi de juger : il faut une enquête indépend</t>
        </is>
      </c>
      <c r="C19" s="4" t="inlineStr">
        <is>
          <t>ouvrir</t>
        </is>
      </c>
      <c r="D19" s="3" t="n">
        <v>133</v>
      </c>
      <c r="E19" s="3" t="n">
        <v>117</v>
      </c>
      <c r="F19" s="3" t="n">
        <v>1</v>
      </c>
      <c r="G19" s="3" t="n">
        <v>0</v>
      </c>
      <c r="H19" s="3" t="n">
        <v>0</v>
      </c>
      <c r="I19" s="3" t="n">
        <v>0</v>
      </c>
      <c r="J19" s="3" t="n">
        <v>2</v>
      </c>
      <c r="K19" s="5">
        <f>IFERROR((F19+G19+H19+I19)/IF(E19&gt;0,E19,D19),0)</f>
        <v/>
      </c>
      <c r="L19" s="6">
        <f>IFERROR(D19/E19,0)</f>
        <v/>
      </c>
    </row>
    <row r="20">
      <c r="A20" s="2" t="inlineStr">
        <is>
          <t>2026-10-24 13:56</t>
        </is>
      </c>
      <c r="B20" s="2" t="inlineStr">
        <is>
          <t>« Oui, nous avons perdu le contrôle. » Le min</t>
        </is>
      </c>
      <c r="C20" s="4" t="inlineStr">
        <is>
          <t>ouvrir</t>
        </is>
      </c>
      <c r="D20" s="3" t="n">
        <v>244</v>
      </c>
      <c r="E20" s="3" t="n">
        <v>225</v>
      </c>
      <c r="F20" s="3" t="n">
        <v>4</v>
      </c>
      <c r="G20" s="3" t="n">
        <v>0</v>
      </c>
      <c r="H20" s="3" t="n">
        <v>0</v>
      </c>
      <c r="I20" s="3" t="n">
        <v>1</v>
      </c>
      <c r="J20" s="3" t="n">
        <v>5</v>
      </c>
      <c r="K20" s="5">
        <f>IFERROR((F20+G20+H20+I20)/IF(E20&gt;0,E20,D20),0)</f>
        <v/>
      </c>
      <c r="L20" s="6">
        <f>IFERROR(D20/E20,0)</f>
        <v/>
      </c>
    </row>
    <row r="21">
      <c r="A21" s="2" t="inlineStr">
        <is>
          <t>2026-10-24 18:14</t>
        </is>
      </c>
      <c r="B21" s="2" t="inlineStr">
        <is>
          <t xml:space="preserve">Cinq infos de la semaine, une même logique : </t>
        </is>
      </c>
      <c r="C21" s="4" t="inlineStr">
        <is>
          <t>ouvrir</t>
        </is>
      </c>
      <c r="D21" s="3" t="n">
        <v>134</v>
      </c>
      <c r="E21" s="3" t="n">
        <v>115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5">
        <f>IFERROR((F21+G21+H21+I21)/IF(E21&gt;0,E21,D21),0)</f>
        <v/>
      </c>
      <c r="L21" s="6">
        <f>IFERROR(D21/E21,0)</f>
        <v/>
      </c>
    </row>
    <row r="22">
      <c r="A22" s="2" t="inlineStr">
        <is>
          <t>2026-10-25 13:58</t>
        </is>
      </c>
      <c r="B22" s="2" t="inlineStr">
        <is>
          <t xml:space="preserve">Des millions publics promis. 244 salariés de </t>
        </is>
      </c>
      <c r="C22" s="4" t="inlineStr">
        <is>
          <t>ouvrir</t>
        </is>
      </c>
      <c r="D22" s="3" t="n">
        <v>114</v>
      </c>
      <c r="E22" s="3" t="n">
        <v>102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5">
        <f>IFERROR((F22+G22+H22+I22)/IF(E22&gt;0,E22,D22),0)</f>
        <v/>
      </c>
      <c r="L22" s="6">
        <f>IFERROR(D22/E22,0)</f>
        <v/>
      </c>
    </row>
    <row r="23">
      <c r="A23" s="2" t="inlineStr">
        <is>
          <t>2026-10-25 13:59</t>
        </is>
      </c>
      <c r="B23" s="2" t="inlineStr">
        <is>
          <t>Vendredi, Macron au concert de Céline Dion. S</t>
        </is>
      </c>
      <c r="C23" s="4" t="inlineStr">
        <is>
          <t>ouvrir</t>
        </is>
      </c>
      <c r="D23" s="3" t="n">
        <v>130</v>
      </c>
      <c r="E23" s="3" t="n">
        <v>110</v>
      </c>
      <c r="F23" s="3" t="n">
        <v>1</v>
      </c>
      <c r="G23" s="3" t="n">
        <v>0</v>
      </c>
      <c r="H23" s="3" t="n">
        <v>0</v>
      </c>
      <c r="I23" s="3" t="n">
        <v>0</v>
      </c>
      <c r="J23" s="3" t="n">
        <v>1</v>
      </c>
      <c r="K23" s="5">
        <f>IFERROR((F23+G23+H23+I23)/IF(E23&gt;0,E23,D23),0)</f>
        <v/>
      </c>
      <c r="L23" s="6">
        <f>IFERROR(D23/E23,0)</f>
        <v/>
      </c>
    </row>
    <row r="24">
      <c r="A24" s="2" t="inlineStr">
        <is>
          <t>2026-10-25 17:26</t>
        </is>
      </c>
      <c r="B24" s="2" t="inlineStr">
        <is>
          <t>2 513 gardes à vue et 67 incarcérations après</t>
        </is>
      </c>
      <c r="C24" s="4" t="inlineStr">
        <is>
          <t>ouvrir</t>
        </is>
      </c>
      <c r="D24" s="3" t="n">
        <v>118</v>
      </c>
      <c r="E24" s="3" t="n">
        <v>106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5">
        <f>IFERROR((F24+G24+H24+I24)/IF(E24&gt;0,E24,D24),0)</f>
        <v/>
      </c>
      <c r="L24" s="6">
        <f>IFERROR(D24/E24,0)</f>
        <v/>
      </c>
    </row>
    <row r="25">
      <c r="A25" s="2" t="inlineStr">
        <is>
          <t>2026-10-27 07:08</t>
        </is>
      </c>
      <c r="B25" s="2" t="inlineStr">
        <is>
          <t xml:space="preserve">54 milliards d'efforts demandés aux Français </t>
        </is>
      </c>
      <c r="C25" s="4" t="inlineStr">
        <is>
          <t>ouvrir</t>
        </is>
      </c>
      <c r="D25" s="3" t="n">
        <v>107</v>
      </c>
      <c r="E25" s="3" t="n">
        <v>99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5">
        <f>IFERROR((F25+G25+H25+I25)/IF(E25&gt;0,E25,D25),0)</f>
        <v/>
      </c>
      <c r="L25" s="6">
        <f>IFERROR(D25/E25,0)</f>
        <v/>
      </c>
    </row>
    <row r="26">
      <c r="A26" s="2" t="inlineStr">
        <is>
          <t>2026-10-29 07:55</t>
        </is>
      </c>
      <c r="B26" s="2" t="inlineStr">
        <is>
          <t xml:space="preserve">Macron demande aux branches de négocier : 52 </t>
        </is>
      </c>
      <c r="C26" s="4" t="inlineStr">
        <is>
          <t>ouvrir</t>
        </is>
      </c>
      <c r="D26" s="3" t="n">
        <v>112</v>
      </c>
      <c r="E26" s="3" t="n">
        <v>106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5">
        <f>IFERROR((F26+G26+H26+I26)/IF(E26&gt;0,E26,D26),0)</f>
        <v/>
      </c>
      <c r="L26" s="6">
        <f>IFERROR(D26/E26,0)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</hyperlinks>
  <pageMargins left="0.75" right="0.75" top="1" bottom="1" header="0.5" footer="0.5"/>
  <drawing xmlns:r="http://schemas.openxmlformats.org/officeDocument/2006/relationships" r:id="rId2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>
        <v>325</v>
      </c>
      <c r="C2" s="3" t="n">
        <v>118</v>
      </c>
      <c r="D2" s="3" t="n">
        <v>116</v>
      </c>
      <c r="E2" s="3" t="n">
        <v>135</v>
      </c>
      <c r="F2" s="3" t="n">
        <v>174</v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" t="inlineStr">
        <is>
          <t>2026-10-19</t>
        </is>
      </c>
      <c r="B3" s="3" t="n">
        <v>343</v>
      </c>
      <c r="C3" s="3" t="n">
        <v>132</v>
      </c>
      <c r="D3" s="3" t="n">
        <v>120</v>
      </c>
      <c r="E3" s="3" t="n">
        <v>190</v>
      </c>
      <c r="F3" s="3" t="n">
        <v>1125</v>
      </c>
      <c r="G3" s="3" t="n">
        <v>120</v>
      </c>
      <c r="H3" s="3" t="n">
        <v>105</v>
      </c>
      <c r="I3" s="3" t="n">
        <v>63</v>
      </c>
      <c r="J3" s="3" t="n">
        <v>113</v>
      </c>
      <c r="K3" s="3" t="n">
        <v>7</v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2" t="inlineStr">
        <is>
          <t>2026-10-20</t>
        </is>
      </c>
      <c r="B4" s="3" t="n">
        <v>345</v>
      </c>
      <c r="C4" s="3" t="n">
        <v>133</v>
      </c>
      <c r="D4" s="3" t="n">
        <v>120</v>
      </c>
      <c r="E4" s="3" t="n">
        <v>191</v>
      </c>
      <c r="F4" s="3" t="n">
        <v>1155</v>
      </c>
      <c r="G4" s="3" t="n">
        <v>120</v>
      </c>
      <c r="H4" s="3" t="n">
        <v>110</v>
      </c>
      <c r="I4" s="3" t="n">
        <v>86</v>
      </c>
      <c r="J4" s="3" t="n">
        <v>113</v>
      </c>
      <c r="K4" s="3" t="n">
        <v>111</v>
      </c>
      <c r="L4" s="3" t="n">
        <v>73</v>
      </c>
      <c r="M4" s="3" t="n">
        <v>63</v>
      </c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2" t="inlineStr">
        <is>
          <t>2026-10-21</t>
        </is>
      </c>
      <c r="B5" s="3" t="n">
        <v>348</v>
      </c>
      <c r="C5" s="3" t="n">
        <v>133</v>
      </c>
      <c r="D5" s="3" t="n">
        <v>120</v>
      </c>
      <c r="E5" s="3" t="n">
        <v>191</v>
      </c>
      <c r="F5" s="3" t="n">
        <v>1155</v>
      </c>
      <c r="G5" s="3" t="n">
        <v>120</v>
      </c>
      <c r="H5" s="3" t="n">
        <v>110</v>
      </c>
      <c r="I5" s="3" t="n">
        <v>86</v>
      </c>
      <c r="J5" s="3" t="n">
        <v>113</v>
      </c>
      <c r="K5" s="3" t="n">
        <v>111</v>
      </c>
      <c r="L5" s="3" t="n">
        <v>79</v>
      </c>
      <c r="M5" s="3" t="n">
        <v>157</v>
      </c>
      <c r="N5" s="3" t="n">
        <v>105</v>
      </c>
      <c r="O5" s="3" t="n">
        <v>80</v>
      </c>
      <c r="P5" s="3" t="n">
        <v>69</v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" t="inlineStr">
        <is>
          <t>2026-10-22</t>
        </is>
      </c>
      <c r="B6" s="3" t="n"/>
      <c r="C6" s="3" t="n"/>
      <c r="D6" s="3" t="n">
        <v>120</v>
      </c>
      <c r="E6" s="3" t="n">
        <v>191</v>
      </c>
      <c r="F6" s="3" t="n">
        <v>1155</v>
      </c>
      <c r="G6" s="3" t="n">
        <v>121</v>
      </c>
      <c r="H6" s="3" t="n">
        <v>110</v>
      </c>
      <c r="I6" s="3" t="n">
        <v>86</v>
      </c>
      <c r="J6" s="3" t="n">
        <v>113</v>
      </c>
      <c r="K6" s="3" t="n">
        <v>111</v>
      </c>
      <c r="L6" s="3" t="n">
        <v>79</v>
      </c>
      <c r="M6" s="3" t="n">
        <v>158</v>
      </c>
      <c r="N6" s="3" t="n">
        <v>106</v>
      </c>
      <c r="O6" s="3" t="n">
        <v>105</v>
      </c>
      <c r="P6" s="3" t="n">
        <v>128</v>
      </c>
      <c r="Q6" s="3" t="n">
        <v>113</v>
      </c>
      <c r="R6" s="3" t="n">
        <v>32</v>
      </c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2" t="inlineStr">
        <is>
          <t>2026-10-23</t>
        </is>
      </c>
      <c r="B7" s="3" t="n"/>
      <c r="C7" s="3" t="n"/>
      <c r="D7" s="3" t="n">
        <v>120</v>
      </c>
      <c r="E7" s="3" t="n">
        <v>191</v>
      </c>
      <c r="F7" s="3" t="n">
        <v>1155</v>
      </c>
      <c r="G7" s="3" t="n">
        <v>121</v>
      </c>
      <c r="H7" s="3" t="n">
        <v>110</v>
      </c>
      <c r="I7" s="3" t="n">
        <v>86</v>
      </c>
      <c r="J7" s="3" t="n">
        <v>113</v>
      </c>
      <c r="K7" s="3" t="n">
        <v>111</v>
      </c>
      <c r="L7" s="3" t="n">
        <v>79</v>
      </c>
      <c r="M7" s="3" t="n">
        <v>158</v>
      </c>
      <c r="N7" s="3" t="n">
        <v>106</v>
      </c>
      <c r="O7" s="3" t="n">
        <v>105</v>
      </c>
      <c r="P7" s="3" t="n">
        <v>128</v>
      </c>
      <c r="Q7" s="3" t="n">
        <v>113</v>
      </c>
      <c r="R7" s="3" t="n">
        <v>74</v>
      </c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2" t="inlineStr">
        <is>
          <t>2026-10-24</t>
        </is>
      </c>
      <c r="B8" s="3" t="n"/>
      <c r="C8" s="3" t="n"/>
      <c r="D8" s="3" t="n"/>
      <c r="E8" s="3" t="n"/>
      <c r="F8" s="3" t="n">
        <v>1155</v>
      </c>
      <c r="G8" s="3" t="n">
        <v>121</v>
      </c>
      <c r="H8" s="3" t="n">
        <v>110</v>
      </c>
      <c r="I8" s="3" t="n">
        <v>86</v>
      </c>
      <c r="J8" s="3" t="n">
        <v>113</v>
      </c>
      <c r="K8" s="3" t="n">
        <v>111</v>
      </c>
      <c r="L8" s="3" t="n">
        <v>79</v>
      </c>
      <c r="M8" s="3" t="n">
        <v>158</v>
      </c>
      <c r="N8" s="3" t="n">
        <v>108</v>
      </c>
      <c r="O8" s="3" t="n">
        <v>105</v>
      </c>
      <c r="P8" s="3" t="n">
        <v>128</v>
      </c>
      <c r="Q8" s="3" t="n">
        <v>114</v>
      </c>
      <c r="R8" s="3" t="n">
        <v>76</v>
      </c>
      <c r="S8" s="3" t="n">
        <v>119</v>
      </c>
      <c r="T8" s="3" t="n">
        <v>6</v>
      </c>
      <c r="U8" s="3" t="n"/>
      <c r="V8" s="3" t="n"/>
      <c r="W8" s="3" t="n"/>
      <c r="X8" s="3" t="n"/>
      <c r="Y8" s="3" t="n"/>
      <c r="Z8" s="3" t="n"/>
    </row>
    <row r="9">
      <c r="A9" s="2" t="inlineStr">
        <is>
          <t>2026-10-25</t>
        </is>
      </c>
      <c r="B9" s="3" t="n"/>
      <c r="C9" s="3" t="n"/>
      <c r="D9" s="3" t="n"/>
      <c r="E9" s="3" t="n"/>
      <c r="F9" s="3" t="n"/>
      <c r="G9" s="3" t="n"/>
      <c r="H9" s="3" t="n"/>
      <c r="I9" s="3" t="n">
        <v>86</v>
      </c>
      <c r="J9" s="3" t="n">
        <v>113</v>
      </c>
      <c r="K9" s="3" t="n">
        <v>111</v>
      </c>
      <c r="L9" s="3" t="n">
        <v>79</v>
      </c>
      <c r="M9" s="3" t="n">
        <v>158</v>
      </c>
      <c r="N9" s="3" t="n">
        <v>108</v>
      </c>
      <c r="O9" s="3" t="n">
        <v>105</v>
      </c>
      <c r="P9" s="3" t="n">
        <v>128</v>
      </c>
      <c r="Q9" s="3" t="n">
        <v>114</v>
      </c>
      <c r="R9" s="3" t="n">
        <v>76</v>
      </c>
      <c r="S9" s="3" t="n">
        <v>133</v>
      </c>
      <c r="T9" s="3" t="n">
        <v>241</v>
      </c>
      <c r="U9" s="3" t="n">
        <v>134</v>
      </c>
      <c r="V9" s="3" t="n">
        <v>10</v>
      </c>
      <c r="W9" s="3" t="n">
        <v>13</v>
      </c>
      <c r="X9" s="3" t="n"/>
      <c r="Y9" s="3" t="n"/>
      <c r="Z9" s="3" t="n"/>
    </row>
    <row r="10">
      <c r="A10" s="2" t="inlineStr">
        <is>
          <t>2026-10-26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>
        <v>113</v>
      </c>
      <c r="K10" s="3" t="n">
        <v>111</v>
      </c>
      <c r="L10" s="3" t="n">
        <v>79</v>
      </c>
      <c r="M10" s="3" t="n">
        <v>158</v>
      </c>
      <c r="N10" s="3" t="n">
        <v>108</v>
      </c>
      <c r="O10" s="3" t="n">
        <v>105</v>
      </c>
      <c r="P10" s="3" t="n">
        <v>128</v>
      </c>
      <c r="Q10" s="3" t="n">
        <v>114</v>
      </c>
      <c r="R10" s="3" t="n">
        <v>76</v>
      </c>
      <c r="S10" s="3" t="n">
        <v>133</v>
      </c>
      <c r="T10" s="3" t="n">
        <v>244</v>
      </c>
      <c r="U10" s="3" t="n">
        <v>134</v>
      </c>
      <c r="V10" s="3" t="n">
        <v>114</v>
      </c>
      <c r="W10" s="3" t="n">
        <v>130</v>
      </c>
      <c r="X10" s="3" t="n">
        <v>117</v>
      </c>
      <c r="Y10" s="3" t="n"/>
      <c r="Z10" s="3" t="n"/>
    </row>
    <row r="11">
      <c r="A11" s="2" t="inlineStr">
        <is>
          <t>2026-10-27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>
        <v>111</v>
      </c>
      <c r="L11" s="3" t="n">
        <v>79</v>
      </c>
      <c r="M11" s="3" t="n">
        <v>158</v>
      </c>
      <c r="N11" s="3" t="n">
        <v>108</v>
      </c>
      <c r="O11" s="3" t="n">
        <v>105</v>
      </c>
      <c r="P11" s="3" t="n">
        <v>128</v>
      </c>
      <c r="Q11" s="3" t="n">
        <v>114</v>
      </c>
      <c r="R11" s="3" t="n">
        <v>76</v>
      </c>
      <c r="S11" s="3" t="n">
        <v>133</v>
      </c>
      <c r="T11" s="3" t="n">
        <v>244</v>
      </c>
      <c r="U11" s="3" t="n">
        <v>134</v>
      </c>
      <c r="V11" s="3" t="n">
        <v>114</v>
      </c>
      <c r="W11" s="3" t="n">
        <v>130</v>
      </c>
      <c r="X11" s="3" t="n">
        <v>118</v>
      </c>
      <c r="Y11" s="3" t="n">
        <v>92</v>
      </c>
      <c r="Z11" s="3" t="n"/>
    </row>
    <row r="12">
      <c r="A12" s="2" t="inlineStr">
        <is>
          <t>2026-10-28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>
        <v>111</v>
      </c>
      <c r="L12" s="3" t="n">
        <v>79</v>
      </c>
      <c r="M12" s="3" t="n">
        <v>158</v>
      </c>
      <c r="N12" s="3" t="n">
        <v>108</v>
      </c>
      <c r="O12" s="3" t="n">
        <v>105</v>
      </c>
      <c r="P12" s="3" t="n">
        <v>128</v>
      </c>
      <c r="Q12" s="3" t="n">
        <v>114</v>
      </c>
      <c r="R12" s="3" t="n">
        <v>76</v>
      </c>
      <c r="S12" s="3" t="n">
        <v>133</v>
      </c>
      <c r="T12" s="3" t="n">
        <v>244</v>
      </c>
      <c r="U12" s="3" t="n">
        <v>134</v>
      </c>
      <c r="V12" s="3" t="n">
        <v>114</v>
      </c>
      <c r="W12" s="3" t="n">
        <v>130</v>
      </c>
      <c r="X12" s="3" t="n">
        <v>118</v>
      </c>
      <c r="Y12" s="3" t="n">
        <v>107</v>
      </c>
      <c r="Z12" s="3" t="n"/>
    </row>
    <row r="13">
      <c r="A13" s="2" t="inlineStr">
        <is>
          <t>2026-10-29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>
        <v>79</v>
      </c>
      <c r="M13" s="3" t="n">
        <v>158</v>
      </c>
      <c r="N13" s="3" t="n">
        <v>108</v>
      </c>
      <c r="O13" s="3" t="n">
        <v>105</v>
      </c>
      <c r="P13" s="3" t="n">
        <v>128</v>
      </c>
      <c r="Q13" s="3" t="n">
        <v>114</v>
      </c>
      <c r="R13" s="3" t="n">
        <v>76</v>
      </c>
      <c r="S13" s="3" t="n">
        <v>133</v>
      </c>
      <c r="T13" s="3" t="n">
        <v>244</v>
      </c>
      <c r="U13" s="3" t="n">
        <v>134</v>
      </c>
      <c r="V13" s="3" t="n">
        <v>114</v>
      </c>
      <c r="W13" s="3" t="n">
        <v>130</v>
      </c>
      <c r="X13" s="3" t="n">
        <v>118</v>
      </c>
      <c r="Y13" s="3" t="n">
        <v>107</v>
      </c>
      <c r="Z13" s="3" t="n">
        <v>112</v>
      </c>
    </row>
    <row r="14">
      <c r="A14" s="2" t="inlineStr">
        <is>
          <t>2026-10-30</t>
        </is>
      </c>
      <c r="B14" s="3" t="n">
        <v>348</v>
      </c>
      <c r="C14" s="3" t="n">
        <v>133</v>
      </c>
      <c r="D14" s="3" t="n">
        <v>120</v>
      </c>
      <c r="E14" s="3" t="n">
        <v>191</v>
      </c>
      <c r="F14" s="3" t="n">
        <v>1156</v>
      </c>
      <c r="G14" s="3" t="n">
        <v>121</v>
      </c>
      <c r="H14" s="3" t="n">
        <v>110</v>
      </c>
      <c r="I14" s="3" t="n">
        <v>86</v>
      </c>
      <c r="J14" s="3" t="n">
        <v>113</v>
      </c>
      <c r="K14" s="3" t="n">
        <v>111</v>
      </c>
      <c r="L14" s="3" t="n">
        <v>79</v>
      </c>
      <c r="M14" s="3" t="n">
        <v>158</v>
      </c>
      <c r="N14" s="3" t="n">
        <v>108</v>
      </c>
      <c r="O14" s="3" t="n">
        <v>105</v>
      </c>
      <c r="P14" s="3" t="n">
        <v>128</v>
      </c>
      <c r="Q14" s="3" t="n">
        <v>114</v>
      </c>
      <c r="R14" s="3" t="n">
        <v>76</v>
      </c>
      <c r="S14" s="3" t="n">
        <v>133</v>
      </c>
      <c r="T14" s="3" t="n">
        <v>244</v>
      </c>
      <c r="U14" s="3" t="n">
        <v>134</v>
      </c>
      <c r="V14" s="3" t="n">
        <v>114</v>
      </c>
      <c r="W14" s="3" t="n">
        <v>130</v>
      </c>
      <c r="X14" s="3" t="n">
        <v>118</v>
      </c>
      <c r="Y14" s="3" t="n">
        <v>107</v>
      </c>
      <c r="Z14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2" customWidth="1" min="27" max="27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  <c r="AA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IF('Évolution par vidéo'!Q2="","",'Évolution par vidéo'!Q2)</f>
        <v/>
      </c>
      <c r="R2" s="3">
        <f>IF('Évolution par vidéo'!R2="","",'Évolution par vidéo'!R2)</f>
        <v/>
      </c>
      <c r="S2" s="3">
        <f>IF('Évolution par vidéo'!S2="","",'Évolution par vidéo'!S2)</f>
        <v/>
      </c>
      <c r="T2" s="3">
        <f>IF('Évolution par vidéo'!T2="","",'Évolution par vidéo'!T2)</f>
        <v/>
      </c>
      <c r="U2" s="3">
        <f>IF('Évolution par vidéo'!U2="","",'Évolution par vidéo'!U2)</f>
        <v/>
      </c>
      <c r="V2" s="3">
        <f>IF('Évolution par vidéo'!V2="","",'Évolution par vidéo'!V2)</f>
        <v/>
      </c>
      <c r="W2" s="3">
        <f>IF('Évolution par vidéo'!W2="","",'Évolution par vidéo'!W2)</f>
        <v/>
      </c>
      <c r="X2" s="3">
        <f>IF('Évolution par vidéo'!X2="","",'Évolution par vidéo'!X2)</f>
        <v/>
      </c>
      <c r="Y2" s="3">
        <f>IF('Évolution par vidéo'!Y2="","",'Évolution par vidéo'!Y2)</f>
        <v/>
      </c>
      <c r="Z2" s="3">
        <f>IF('Évolution par vidéo'!Z2="","",'Évolution par vidéo'!Z2)</f>
        <v/>
      </c>
      <c r="AA2" s="3">
        <f>SUM(B2:Z2)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IF('Évolution par vidéo'!Q3="","",'Évolution par vidéo'!Q3-N('Évolution par vidéo'!Q2))</f>
        <v/>
      </c>
      <c r="R3" s="3">
        <f>IF('Évolution par vidéo'!R3="","",'Évolution par vidéo'!R3-N('Évolution par vidéo'!R2))</f>
        <v/>
      </c>
      <c r="S3" s="3">
        <f>IF('Évolution par vidéo'!S3="","",'Évolution par vidéo'!S3-N('Évolution par vidéo'!S2))</f>
        <v/>
      </c>
      <c r="T3" s="3">
        <f>IF('Évolution par vidéo'!T3="","",'Évolution par vidéo'!T3-N('Évolution par vidéo'!T2))</f>
        <v/>
      </c>
      <c r="U3" s="3">
        <f>IF('Évolution par vidéo'!U3="","",'Évolution par vidéo'!U3-N('Évolution par vidéo'!U2))</f>
        <v/>
      </c>
      <c r="V3" s="3">
        <f>IF('Évolution par vidéo'!V3="","",'Évolution par vidéo'!V3-N('Évolution par vidéo'!V2))</f>
        <v/>
      </c>
      <c r="W3" s="3">
        <f>IF('Évolution par vidéo'!W3="","",'Évolution par vidéo'!W3-N('Évolution par vidéo'!W2))</f>
        <v/>
      </c>
      <c r="X3" s="3">
        <f>IF('Évolution par vidéo'!X3="","",'Évolution par vidéo'!X3-N('Évolution par vidéo'!X2))</f>
        <v/>
      </c>
      <c r="Y3" s="3">
        <f>IF('Évolution par vidéo'!Y3="","",'Évolution par vidéo'!Y3-N('Évolution par vidéo'!Y2))</f>
        <v/>
      </c>
      <c r="Z3" s="3">
        <f>IF('Évolution par vidéo'!Z3="","",'Évolution par vidéo'!Z3-N('Évolution par vidéo'!Z2))</f>
        <v/>
      </c>
      <c r="AA3" s="3">
        <f>SUM(B3:Z3)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IF('Évolution par vidéo'!Q4="","",'Évolution par vidéo'!Q4-N('Évolution par vidéo'!Q3))</f>
        <v/>
      </c>
      <c r="R4" s="3">
        <f>IF('Évolution par vidéo'!R4="","",'Évolution par vidéo'!R4-N('Évolution par vidéo'!R3))</f>
        <v/>
      </c>
      <c r="S4" s="3">
        <f>IF('Évolution par vidéo'!S4="","",'Évolution par vidéo'!S4-N('Évolution par vidéo'!S3))</f>
        <v/>
      </c>
      <c r="T4" s="3">
        <f>IF('Évolution par vidéo'!T4="","",'Évolution par vidéo'!T4-N('Évolution par vidéo'!T3))</f>
        <v/>
      </c>
      <c r="U4" s="3">
        <f>IF('Évolution par vidéo'!U4="","",'Évolution par vidéo'!U4-N('Évolution par vidéo'!U3))</f>
        <v/>
      </c>
      <c r="V4" s="3">
        <f>IF('Évolution par vidéo'!V4="","",'Évolution par vidéo'!V4-N('Évolution par vidéo'!V3))</f>
        <v/>
      </c>
      <c r="W4" s="3">
        <f>IF('Évolution par vidéo'!W4="","",'Évolution par vidéo'!W4-N('Évolution par vidéo'!W3))</f>
        <v/>
      </c>
      <c r="X4" s="3">
        <f>IF('Évolution par vidéo'!X4="","",'Évolution par vidéo'!X4-N('Évolution par vidéo'!X3))</f>
        <v/>
      </c>
      <c r="Y4" s="3">
        <f>IF('Évolution par vidéo'!Y4="","",'Évolution par vidéo'!Y4-N('Évolution par vidéo'!Y3))</f>
        <v/>
      </c>
      <c r="Z4" s="3">
        <f>IF('Évolution par vidéo'!Z4="","",'Évolution par vidéo'!Z4-N('Évolution par vidéo'!Z3))</f>
        <v/>
      </c>
      <c r="AA4" s="3">
        <f>SUM(B4:Z4)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IF('Évolution par vidéo'!Q5="","",'Évolution par vidéo'!Q5-N('Évolution par vidéo'!Q4))</f>
        <v/>
      </c>
      <c r="R5" s="3">
        <f>IF('Évolution par vidéo'!R5="","",'Évolution par vidéo'!R5-N('Évolution par vidéo'!R4))</f>
        <v/>
      </c>
      <c r="S5" s="3">
        <f>IF('Évolution par vidéo'!S5="","",'Évolution par vidéo'!S5-N('Évolution par vidéo'!S4))</f>
        <v/>
      </c>
      <c r="T5" s="3">
        <f>IF('Évolution par vidéo'!T5="","",'Évolution par vidéo'!T5-N('Évolution par vidéo'!T4))</f>
        <v/>
      </c>
      <c r="U5" s="3">
        <f>IF('Évolution par vidéo'!U5="","",'Évolution par vidéo'!U5-N('Évolution par vidéo'!U4))</f>
        <v/>
      </c>
      <c r="V5" s="3">
        <f>IF('Évolution par vidéo'!V5="","",'Évolution par vidéo'!V5-N('Évolution par vidéo'!V4))</f>
        <v/>
      </c>
      <c r="W5" s="3">
        <f>IF('Évolution par vidéo'!W5="","",'Évolution par vidéo'!W5-N('Évolution par vidéo'!W4))</f>
        <v/>
      </c>
      <c r="X5" s="3">
        <f>IF('Évolution par vidéo'!X5="","",'Évolution par vidéo'!X5-N('Évolution par vidéo'!X4))</f>
        <v/>
      </c>
      <c r="Y5" s="3">
        <f>IF('Évolution par vidéo'!Y5="","",'Évolution par vidéo'!Y5-N('Évolution par vidéo'!Y4))</f>
        <v/>
      </c>
      <c r="Z5" s="3">
        <f>IF('Évolution par vidéo'!Z5="","",'Évolution par vidéo'!Z5-N('Évolution par vidéo'!Z4))</f>
        <v/>
      </c>
      <c r="AA5" s="3">
        <f>SUM(B5:Z5)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IF('Évolution par vidéo'!Q6="","",'Évolution par vidéo'!Q6-N('Évolution par vidéo'!Q5))</f>
        <v/>
      </c>
      <c r="R6" s="3">
        <f>IF('Évolution par vidéo'!R6="","",'Évolution par vidéo'!R6-N('Évolution par vidéo'!R5))</f>
        <v/>
      </c>
      <c r="S6" s="3">
        <f>IF('Évolution par vidéo'!S6="","",'Évolution par vidéo'!S6-N('Évolution par vidéo'!S5))</f>
        <v/>
      </c>
      <c r="T6" s="3">
        <f>IF('Évolution par vidéo'!T6="","",'Évolution par vidéo'!T6-N('Évolution par vidéo'!T5))</f>
        <v/>
      </c>
      <c r="U6" s="3">
        <f>IF('Évolution par vidéo'!U6="","",'Évolution par vidéo'!U6-N('Évolution par vidéo'!U5))</f>
        <v/>
      </c>
      <c r="V6" s="3">
        <f>IF('Évolution par vidéo'!V6="","",'Évolution par vidéo'!V6-N('Évolution par vidéo'!V5))</f>
        <v/>
      </c>
      <c r="W6" s="3">
        <f>IF('Évolution par vidéo'!W6="","",'Évolution par vidéo'!W6-N('Évolution par vidéo'!W5))</f>
        <v/>
      </c>
      <c r="X6" s="3">
        <f>IF('Évolution par vidéo'!X6="","",'Évolution par vidéo'!X6-N('Évolution par vidéo'!X5))</f>
        <v/>
      </c>
      <c r="Y6" s="3">
        <f>IF('Évolution par vidéo'!Y6="","",'Évolution par vidéo'!Y6-N('Évolution par vidéo'!Y5))</f>
        <v/>
      </c>
      <c r="Z6" s="3">
        <f>IF('Évolution par vidéo'!Z6="","",'Évolution par vidéo'!Z6-N('Évolution par vidéo'!Z5))</f>
        <v/>
      </c>
      <c r="AA6" s="3">
        <f>SUM(B6:Z6)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IF('Évolution par vidéo'!Q7="","",'Évolution par vidéo'!Q7-N('Évolution par vidéo'!Q6))</f>
        <v/>
      </c>
      <c r="R7" s="3">
        <f>IF('Évolution par vidéo'!R7="","",'Évolution par vidéo'!R7-N('Évolution par vidéo'!R6))</f>
        <v/>
      </c>
      <c r="S7" s="3">
        <f>IF('Évolution par vidéo'!S7="","",'Évolution par vidéo'!S7-N('Évolution par vidéo'!S6))</f>
        <v/>
      </c>
      <c r="T7" s="3">
        <f>IF('Évolution par vidéo'!T7="","",'Évolution par vidéo'!T7-N('Évolution par vidéo'!T6))</f>
        <v/>
      </c>
      <c r="U7" s="3">
        <f>IF('Évolution par vidéo'!U7="","",'Évolution par vidéo'!U7-N('Évolution par vidéo'!U6))</f>
        <v/>
      </c>
      <c r="V7" s="3">
        <f>IF('Évolution par vidéo'!V7="","",'Évolution par vidéo'!V7-N('Évolution par vidéo'!V6))</f>
        <v/>
      </c>
      <c r="W7" s="3">
        <f>IF('Évolution par vidéo'!W7="","",'Évolution par vidéo'!W7-N('Évolution par vidéo'!W6))</f>
        <v/>
      </c>
      <c r="X7" s="3">
        <f>IF('Évolution par vidéo'!X7="","",'Évolution par vidéo'!X7-N('Évolution par vidéo'!X6))</f>
        <v/>
      </c>
      <c r="Y7" s="3">
        <f>IF('Évolution par vidéo'!Y7="","",'Évolution par vidéo'!Y7-N('Évolution par vidéo'!Y6))</f>
        <v/>
      </c>
      <c r="Z7" s="3">
        <f>IF('Évolution par vidéo'!Z7="","",'Évolution par vidéo'!Z7-N('Évolution par vidéo'!Z6))</f>
        <v/>
      </c>
      <c r="AA7" s="3">
        <f>SUM(B7:Z7)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IF('Évolution par vidéo'!Q8="","",'Évolution par vidéo'!Q8-N('Évolution par vidéo'!Q7))</f>
        <v/>
      </c>
      <c r="R8" s="3">
        <f>IF('Évolution par vidéo'!R8="","",'Évolution par vidéo'!R8-N('Évolution par vidéo'!R7))</f>
        <v/>
      </c>
      <c r="S8" s="3">
        <f>IF('Évolution par vidéo'!S8="","",'Évolution par vidéo'!S8-N('Évolution par vidéo'!S7))</f>
        <v/>
      </c>
      <c r="T8" s="3">
        <f>IF('Évolution par vidéo'!T8="","",'Évolution par vidéo'!T8-N('Évolution par vidéo'!T7))</f>
        <v/>
      </c>
      <c r="U8" s="3">
        <f>IF('Évolution par vidéo'!U8="","",'Évolution par vidéo'!U8-N('Évolution par vidéo'!U7))</f>
        <v/>
      </c>
      <c r="V8" s="3">
        <f>IF('Évolution par vidéo'!V8="","",'Évolution par vidéo'!V8-N('Évolution par vidéo'!V7))</f>
        <v/>
      </c>
      <c r="W8" s="3">
        <f>IF('Évolution par vidéo'!W8="","",'Évolution par vidéo'!W8-N('Évolution par vidéo'!W7))</f>
        <v/>
      </c>
      <c r="X8" s="3">
        <f>IF('Évolution par vidéo'!X8="","",'Évolution par vidéo'!X8-N('Évolution par vidéo'!X7))</f>
        <v/>
      </c>
      <c r="Y8" s="3">
        <f>IF('Évolution par vidéo'!Y8="","",'Évolution par vidéo'!Y8-N('Évolution par vidéo'!Y7))</f>
        <v/>
      </c>
      <c r="Z8" s="3">
        <f>IF('Évolution par vidéo'!Z8="","",'Évolution par vidéo'!Z8-N('Évolution par vidéo'!Z7))</f>
        <v/>
      </c>
      <c r="AA8" s="3">
        <f>SUM(B8:Z8)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IF('Évolution par vidéo'!Q9="","",'Évolution par vidéo'!Q9-N('Évolution par vidéo'!Q8))</f>
        <v/>
      </c>
      <c r="R9" s="3">
        <f>IF('Évolution par vidéo'!R9="","",'Évolution par vidéo'!R9-N('Évolution par vidéo'!R8))</f>
        <v/>
      </c>
      <c r="S9" s="3">
        <f>IF('Évolution par vidéo'!S9="","",'Évolution par vidéo'!S9-N('Évolution par vidéo'!S8))</f>
        <v/>
      </c>
      <c r="T9" s="3">
        <f>IF('Évolution par vidéo'!T9="","",'Évolution par vidéo'!T9-N('Évolution par vidéo'!T8))</f>
        <v/>
      </c>
      <c r="U9" s="3">
        <f>IF('Évolution par vidéo'!U9="","",'Évolution par vidéo'!U9-N('Évolution par vidéo'!U8))</f>
        <v/>
      </c>
      <c r="V9" s="3">
        <f>IF('Évolution par vidéo'!V9="","",'Évolution par vidéo'!V9-N('Évolution par vidéo'!V8))</f>
        <v/>
      </c>
      <c r="W9" s="3">
        <f>IF('Évolution par vidéo'!W9="","",'Évolution par vidéo'!W9-N('Évolution par vidéo'!W8))</f>
        <v/>
      </c>
      <c r="X9" s="3">
        <f>IF('Évolution par vidéo'!X9="","",'Évolution par vidéo'!X9-N('Évolution par vidéo'!X8))</f>
        <v/>
      </c>
      <c r="Y9" s="3">
        <f>IF('Évolution par vidéo'!Y9="","",'Évolution par vidéo'!Y9-N('Évolution par vidéo'!Y8))</f>
        <v/>
      </c>
      <c r="Z9" s="3">
        <f>IF('Évolution par vidéo'!Z9="","",'Évolution par vidéo'!Z9-N('Évolution par vidéo'!Z8))</f>
        <v/>
      </c>
      <c r="AA9" s="3">
        <f>SUM(B9:Z9)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IF('Évolution par vidéo'!Q10="","",'Évolution par vidéo'!Q10-N('Évolution par vidéo'!Q9))</f>
        <v/>
      </c>
      <c r="R10" s="3">
        <f>IF('Évolution par vidéo'!R10="","",'Évolution par vidéo'!R10-N('Évolution par vidéo'!R9))</f>
        <v/>
      </c>
      <c r="S10" s="3">
        <f>IF('Évolution par vidéo'!S10="","",'Évolution par vidéo'!S10-N('Évolution par vidéo'!S9))</f>
        <v/>
      </c>
      <c r="T10" s="3">
        <f>IF('Évolution par vidéo'!T10="","",'Évolution par vidéo'!T10-N('Évolution par vidéo'!T9))</f>
        <v/>
      </c>
      <c r="U10" s="3">
        <f>IF('Évolution par vidéo'!U10="","",'Évolution par vidéo'!U10-N('Évolution par vidéo'!U9))</f>
        <v/>
      </c>
      <c r="V10" s="3">
        <f>IF('Évolution par vidéo'!V10="","",'Évolution par vidéo'!V10-N('Évolution par vidéo'!V9))</f>
        <v/>
      </c>
      <c r="W10" s="3">
        <f>IF('Évolution par vidéo'!W10="","",'Évolution par vidéo'!W10-N('Évolution par vidéo'!W9))</f>
        <v/>
      </c>
      <c r="X10" s="3">
        <f>IF('Évolution par vidéo'!X10="","",'Évolution par vidéo'!X10-N('Évolution par vidéo'!X9))</f>
        <v/>
      </c>
      <c r="Y10" s="3">
        <f>IF('Évolution par vidéo'!Y10="","",'Évolution par vidéo'!Y10-N('Évolution par vidéo'!Y9))</f>
        <v/>
      </c>
      <c r="Z10" s="3">
        <f>IF('Évolution par vidéo'!Z10="","",'Évolution par vidéo'!Z10-N('Évolution par vidéo'!Z9))</f>
        <v/>
      </c>
      <c r="AA10" s="3">
        <f>SUM(B10:Z10)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IF('Évolution par vidéo'!Q11="","",'Évolution par vidéo'!Q11-N('Évolution par vidéo'!Q10))</f>
        <v/>
      </c>
      <c r="R11" s="3">
        <f>IF('Évolution par vidéo'!R11="","",'Évolution par vidéo'!R11-N('Évolution par vidéo'!R10))</f>
        <v/>
      </c>
      <c r="S11" s="3">
        <f>IF('Évolution par vidéo'!S11="","",'Évolution par vidéo'!S11-N('Évolution par vidéo'!S10))</f>
        <v/>
      </c>
      <c r="T11" s="3">
        <f>IF('Évolution par vidéo'!T11="","",'Évolution par vidéo'!T11-N('Évolution par vidéo'!T10))</f>
        <v/>
      </c>
      <c r="U11" s="3">
        <f>IF('Évolution par vidéo'!U11="","",'Évolution par vidéo'!U11-N('Évolution par vidéo'!U10))</f>
        <v/>
      </c>
      <c r="V11" s="3">
        <f>IF('Évolution par vidéo'!V11="","",'Évolution par vidéo'!V11-N('Évolution par vidéo'!V10))</f>
        <v/>
      </c>
      <c r="W11" s="3">
        <f>IF('Évolution par vidéo'!W11="","",'Évolution par vidéo'!W11-N('Évolution par vidéo'!W10))</f>
        <v/>
      </c>
      <c r="X11" s="3">
        <f>IF('Évolution par vidéo'!X11="","",'Évolution par vidéo'!X11-N('Évolution par vidéo'!X10))</f>
        <v/>
      </c>
      <c r="Y11" s="3">
        <f>IF('Évolution par vidéo'!Y11="","",'Évolution par vidéo'!Y11-N('Évolution par vidéo'!Y10))</f>
        <v/>
      </c>
      <c r="Z11" s="3">
        <f>IF('Évolution par vidéo'!Z11="","",'Évolution par vidéo'!Z11-N('Évolution par vidéo'!Z10))</f>
        <v/>
      </c>
      <c r="AA11" s="3">
        <f>SUM(B11:Z11)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IF('Évolution par vidéo'!Q12="","",'Évolution par vidéo'!Q12-N('Évolution par vidéo'!Q11))</f>
        <v/>
      </c>
      <c r="R12" s="3">
        <f>IF('Évolution par vidéo'!R12="","",'Évolution par vidéo'!R12-N('Évolution par vidéo'!R11))</f>
        <v/>
      </c>
      <c r="S12" s="3">
        <f>IF('Évolution par vidéo'!S12="","",'Évolution par vidéo'!S12-N('Évolution par vidéo'!S11))</f>
        <v/>
      </c>
      <c r="T12" s="3">
        <f>IF('Évolution par vidéo'!T12="","",'Évolution par vidéo'!T12-N('Évolution par vidéo'!T11))</f>
        <v/>
      </c>
      <c r="U12" s="3">
        <f>IF('Évolution par vidéo'!U12="","",'Évolution par vidéo'!U12-N('Évolution par vidéo'!U11))</f>
        <v/>
      </c>
      <c r="V12" s="3">
        <f>IF('Évolution par vidéo'!V12="","",'Évolution par vidéo'!V12-N('Évolution par vidéo'!V11))</f>
        <v/>
      </c>
      <c r="W12" s="3">
        <f>IF('Évolution par vidéo'!W12="","",'Évolution par vidéo'!W12-N('Évolution par vidéo'!W11))</f>
        <v/>
      </c>
      <c r="X12" s="3">
        <f>IF('Évolution par vidéo'!X12="","",'Évolution par vidéo'!X12-N('Évolution par vidéo'!X11))</f>
        <v/>
      </c>
      <c r="Y12" s="3">
        <f>IF('Évolution par vidéo'!Y12="","",'Évolution par vidéo'!Y12-N('Évolution par vidéo'!Y11))</f>
        <v/>
      </c>
      <c r="Z12" s="3">
        <f>IF('Évolution par vidéo'!Z12="","",'Évolution par vidéo'!Z12-N('Évolution par vidéo'!Z11))</f>
        <v/>
      </c>
      <c r="AA12" s="3">
        <f>SUM(B12:Z12)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IF('Évolution par vidéo'!Q13="","",'Évolution par vidéo'!Q13-N('Évolution par vidéo'!Q12))</f>
        <v/>
      </c>
      <c r="R13" s="3">
        <f>IF('Évolution par vidéo'!R13="","",'Évolution par vidéo'!R13-N('Évolution par vidéo'!R12))</f>
        <v/>
      </c>
      <c r="S13" s="3">
        <f>IF('Évolution par vidéo'!S13="","",'Évolution par vidéo'!S13-N('Évolution par vidéo'!S12))</f>
        <v/>
      </c>
      <c r="T13" s="3">
        <f>IF('Évolution par vidéo'!T13="","",'Évolution par vidéo'!T13-N('Évolution par vidéo'!T12))</f>
        <v/>
      </c>
      <c r="U13" s="3">
        <f>IF('Évolution par vidéo'!U13="","",'Évolution par vidéo'!U13-N('Évolution par vidéo'!U12))</f>
        <v/>
      </c>
      <c r="V13" s="3">
        <f>IF('Évolution par vidéo'!V13="","",'Évolution par vidéo'!V13-N('Évolution par vidéo'!V12))</f>
        <v/>
      </c>
      <c r="W13" s="3">
        <f>IF('Évolution par vidéo'!W13="","",'Évolution par vidéo'!W13-N('Évolution par vidéo'!W12))</f>
        <v/>
      </c>
      <c r="X13" s="3">
        <f>IF('Évolution par vidéo'!X13="","",'Évolution par vidéo'!X13-N('Évolution par vidéo'!X12))</f>
        <v/>
      </c>
      <c r="Y13" s="3">
        <f>IF('Évolution par vidéo'!Y13="","",'Évolution par vidéo'!Y13-N('Évolution par vidéo'!Y12))</f>
        <v/>
      </c>
      <c r="Z13" s="3">
        <f>IF('Évolution par vidéo'!Z13="","",'Évolution par vidéo'!Z13-N('Évolution par vidéo'!Z12))</f>
        <v/>
      </c>
      <c r="AA13" s="3">
        <f>SUM(B13:Z13)</f>
        <v/>
      </c>
    </row>
    <row r="14">
      <c r="A14" s="2" t="inlineStr">
        <is>
          <t>2026-10-30</t>
        </is>
      </c>
      <c r="B14" s="3">
        <f>IF('Évolution par vidéo'!B14="","",'Évolution par vidéo'!B14-N('Évolution par vidéo'!B13))</f>
        <v/>
      </c>
      <c r="C14" s="3">
        <f>IF('Évolution par vidéo'!C14="","",'Évolution par vidéo'!C14-N('Évolution par vidéo'!C13))</f>
        <v/>
      </c>
      <c r="D14" s="3">
        <f>IF('Évolution par vidéo'!D14="","",'Évolution par vidéo'!D14-N('Évolution par vidéo'!D13))</f>
        <v/>
      </c>
      <c r="E14" s="3">
        <f>IF('Évolution par vidéo'!E14="","",'Évolution par vidéo'!E14-N('Évolution par vidéo'!E13))</f>
        <v/>
      </c>
      <c r="F14" s="3">
        <f>IF('Évolution par vidéo'!F14="","",'Évolution par vidéo'!F14-N('Évolution par vidéo'!F13))</f>
        <v/>
      </c>
      <c r="G14" s="3">
        <f>IF('Évolution par vidéo'!G14="","",'Évolution par vidéo'!G14-N('Évolution par vidéo'!G13))</f>
        <v/>
      </c>
      <c r="H14" s="3">
        <f>IF('Évolution par vidéo'!H14="","",'Évolution par vidéo'!H14-N('Évolution par vidéo'!H13))</f>
        <v/>
      </c>
      <c r="I14" s="3">
        <f>IF('Évolution par vidéo'!I14="","",'Évolution par vidéo'!I14-N('Évolution par vidéo'!I13))</f>
        <v/>
      </c>
      <c r="J14" s="3">
        <f>IF('Évolution par vidéo'!J14="","",'Évolution par vidéo'!J14-N('Évolution par vidéo'!J13))</f>
        <v/>
      </c>
      <c r="K14" s="3">
        <f>IF('Évolution par vidéo'!K14="","",'Évolution par vidéo'!K14-N('Évolution par vidéo'!K13))</f>
        <v/>
      </c>
      <c r="L14" s="3">
        <f>IF('Évolution par vidéo'!L14="","",'Évolution par vidéo'!L14-N('Évolution par vidéo'!L13))</f>
        <v/>
      </c>
      <c r="M14" s="3">
        <f>IF('Évolution par vidéo'!M14="","",'Évolution par vidéo'!M14-N('Évolution par vidéo'!M13))</f>
        <v/>
      </c>
      <c r="N14" s="3">
        <f>IF('Évolution par vidéo'!N14="","",'Évolution par vidéo'!N14-N('Évolution par vidéo'!N13))</f>
        <v/>
      </c>
      <c r="O14" s="3">
        <f>IF('Évolution par vidéo'!O14="","",'Évolution par vidéo'!O14-N('Évolution par vidéo'!O13))</f>
        <v/>
      </c>
      <c r="P14" s="3">
        <f>IF('Évolution par vidéo'!P14="","",'Évolution par vidéo'!P14-N('Évolution par vidéo'!P13))</f>
        <v/>
      </c>
      <c r="Q14" s="3">
        <f>IF('Évolution par vidéo'!Q14="","",'Évolution par vidéo'!Q14-N('Évolution par vidéo'!Q13))</f>
        <v/>
      </c>
      <c r="R14" s="3">
        <f>IF('Évolution par vidéo'!R14="","",'Évolution par vidéo'!R14-N('Évolution par vidéo'!R13))</f>
        <v/>
      </c>
      <c r="S14" s="3">
        <f>IF('Évolution par vidéo'!S14="","",'Évolution par vidéo'!S14-N('Évolution par vidéo'!S13))</f>
        <v/>
      </c>
      <c r="T14" s="3">
        <f>IF('Évolution par vidéo'!T14="","",'Évolution par vidéo'!T14-N('Évolution par vidéo'!T13))</f>
        <v/>
      </c>
      <c r="U14" s="3">
        <f>IF('Évolution par vidéo'!U14="","",'Évolution par vidéo'!U14-N('Évolution par vidéo'!U13))</f>
        <v/>
      </c>
      <c r="V14" s="3">
        <f>IF('Évolution par vidéo'!V14="","",'Évolution par vidéo'!V14-N('Évolution par vidéo'!V13))</f>
        <v/>
      </c>
      <c r="W14" s="3">
        <f>IF('Évolution par vidéo'!W14="","",'Évolution par vidéo'!W14-N('Évolution par vidéo'!W13))</f>
        <v/>
      </c>
      <c r="X14" s="3">
        <f>IF('Évolution par vidéo'!X14="","",'Évolution par vidéo'!X14-N('Évolution par vidéo'!X13))</f>
        <v/>
      </c>
      <c r="Y14" s="3">
        <f>IF('Évolution par vidéo'!Y14="","",'Évolution par vidéo'!Y14-N('Évolution par vidéo'!Y13))</f>
        <v/>
      </c>
      <c r="Z14" s="3">
        <f>IF('Évolution par vidéo'!Z14="","",'Évolution par vidéo'!Z14-N('Évolution par vidéo'!Z13))</f>
        <v/>
      </c>
      <c r="AA14" s="3">
        <f>SUM(B14:Z14)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  <row r="91">
      <c r="A91" s="2" t="inlineStr">
        <is>
          <t>2026-10-30 07:00</t>
        </is>
      </c>
      <c r="B91" s="3" t="n">
        <v>7</v>
      </c>
      <c r="C91" s="3" t="n">
        <v>114</v>
      </c>
      <c r="D91" s="3" t="n">
        <v>76</v>
      </c>
      <c r="E91" s="3" t="n">
        <v>133</v>
      </c>
      <c r="F91" s="3" t="n">
        <v>244</v>
      </c>
      <c r="G91" s="3" t="n">
        <v>134</v>
      </c>
      <c r="H91" s="3" t="n">
        <v>114</v>
      </c>
      <c r="I91" s="3" t="n">
        <v>130</v>
      </c>
      <c r="J91" s="3" t="n">
        <v>118</v>
      </c>
      <c r="K91" s="3" t="n">
        <v>107</v>
      </c>
      <c r="L91" s="3" t="n">
        <v>112</v>
      </c>
      <c r="M91" s="3">
        <f>SUM(C91:L91)</f>
        <v/>
      </c>
    </row>
    <row r="92">
      <c r="A92" s="2" t="inlineStr">
        <is>
          <t>2026-10-30 08:00</t>
        </is>
      </c>
      <c r="B92" s="3" t="n">
        <v>7</v>
      </c>
      <c r="C92" s="3" t="n">
        <v>114</v>
      </c>
      <c r="D92" s="3" t="n">
        <v>76</v>
      </c>
      <c r="E92" s="3" t="n">
        <v>133</v>
      </c>
      <c r="F92" s="3" t="n">
        <v>244</v>
      </c>
      <c r="G92" s="3" t="n">
        <v>134</v>
      </c>
      <c r="H92" s="3" t="n">
        <v>114</v>
      </c>
      <c r="I92" s="3" t="n">
        <v>130</v>
      </c>
      <c r="J92" s="3" t="n">
        <v>118</v>
      </c>
      <c r="K92" s="3" t="n">
        <v>107</v>
      </c>
      <c r="L92" s="3" t="n">
        <v>112</v>
      </c>
      <c r="M92" s="3">
        <f>SUM(C92:L92)</f>
        <v/>
      </c>
    </row>
    <row r="93">
      <c r="A93" s="2" t="inlineStr">
        <is>
          <t>2026-10-30 09:00</t>
        </is>
      </c>
      <c r="B93" s="3" t="n">
        <v>7</v>
      </c>
      <c r="C93" s="3" t="n">
        <v>114</v>
      </c>
      <c r="D93" s="3" t="n">
        <v>76</v>
      </c>
      <c r="E93" s="3" t="n">
        <v>133</v>
      </c>
      <c r="F93" s="3" t="n">
        <v>244</v>
      </c>
      <c r="G93" s="3" t="n">
        <v>134</v>
      </c>
      <c r="H93" s="3" t="n">
        <v>114</v>
      </c>
      <c r="I93" s="3" t="n">
        <v>130</v>
      </c>
      <c r="J93" s="3" t="n">
        <v>118</v>
      </c>
      <c r="K93" s="3" t="n">
        <v>107</v>
      </c>
      <c r="L93" s="3" t="n">
        <v>112</v>
      </c>
      <c r="M93" s="3">
        <f>SUM(C93:L93)</f>
        <v/>
      </c>
    </row>
    <row r="94">
      <c r="A94" s="2" t="inlineStr">
        <is>
          <t>2026-10-30 10:00</t>
        </is>
      </c>
      <c r="B94" s="3" t="n">
        <v>7</v>
      </c>
      <c r="C94" s="3" t="n">
        <v>114</v>
      </c>
      <c r="D94" s="3" t="n">
        <v>76</v>
      </c>
      <c r="E94" s="3" t="n">
        <v>133</v>
      </c>
      <c r="F94" s="3" t="n">
        <v>244</v>
      </c>
      <c r="G94" s="3" t="n">
        <v>134</v>
      </c>
      <c r="H94" s="3" t="n">
        <v>114</v>
      </c>
      <c r="I94" s="3" t="n">
        <v>130</v>
      </c>
      <c r="J94" s="3" t="n">
        <v>118</v>
      </c>
      <c r="K94" s="3" t="n">
        <v>107</v>
      </c>
      <c r="L94" s="3" t="n">
        <v>112</v>
      </c>
      <c r="M94" s="3">
        <f>SUM(C94:L94)</f>
        <v/>
      </c>
    </row>
    <row r="95">
      <c r="A95" s="2" t="inlineStr">
        <is>
          <t>2026-10-30 11:00</t>
        </is>
      </c>
      <c r="B95" s="3" t="n">
        <v>7</v>
      </c>
      <c r="C95" s="3" t="n">
        <v>114</v>
      </c>
      <c r="D95" s="3" t="n">
        <v>76</v>
      </c>
      <c r="E95" s="3" t="n">
        <v>133</v>
      </c>
      <c r="F95" s="3" t="n">
        <v>244</v>
      </c>
      <c r="G95" s="3" t="n">
        <v>134</v>
      </c>
      <c r="H95" s="3" t="n">
        <v>114</v>
      </c>
      <c r="I95" s="3" t="n">
        <v>130</v>
      </c>
      <c r="J95" s="3" t="n">
        <v>118</v>
      </c>
      <c r="K95" s="3" t="n">
        <v>107</v>
      </c>
      <c r="L95" s="3" t="n">
        <v>112</v>
      </c>
      <c r="M95" s="3">
        <f>SUM(C95:L95)</f>
        <v/>
      </c>
    </row>
    <row r="96">
      <c r="A96" s="2" t="inlineStr">
        <is>
          <t>2026-10-30 12:00</t>
        </is>
      </c>
      <c r="B96" s="3" t="n">
        <v>7</v>
      </c>
      <c r="C96" s="3" t="n">
        <v>114</v>
      </c>
      <c r="D96" s="3" t="n">
        <v>76</v>
      </c>
      <c r="E96" s="3" t="n">
        <v>133</v>
      </c>
      <c r="F96" s="3" t="n">
        <v>244</v>
      </c>
      <c r="G96" s="3" t="n">
        <v>134</v>
      </c>
      <c r="H96" s="3" t="n">
        <v>114</v>
      </c>
      <c r="I96" s="3" t="n">
        <v>130</v>
      </c>
      <c r="J96" s="3" t="n">
        <v>118</v>
      </c>
      <c r="K96" s="3" t="n">
        <v>107</v>
      </c>
      <c r="L96" s="3" t="n">
        <v>112</v>
      </c>
      <c r="M96" s="3">
        <f>SUM(C96:L96)</f>
        <v/>
      </c>
    </row>
    <row r="97">
      <c r="A97" s="2" t="inlineStr">
        <is>
          <t>2026-10-30 13:00</t>
        </is>
      </c>
      <c r="B97" s="3" t="n">
        <v>7</v>
      </c>
      <c r="C97" s="3" t="n">
        <v>114</v>
      </c>
      <c r="D97" s="3" t="n">
        <v>76</v>
      </c>
      <c r="E97" s="3" t="n">
        <v>133</v>
      </c>
      <c r="F97" s="3" t="n">
        <v>244</v>
      </c>
      <c r="G97" s="3" t="n">
        <v>134</v>
      </c>
      <c r="H97" s="3" t="n">
        <v>114</v>
      </c>
      <c r="I97" s="3" t="n">
        <v>130</v>
      </c>
      <c r="J97" s="3" t="n">
        <v>118</v>
      </c>
      <c r="K97" s="3" t="n">
        <v>107</v>
      </c>
      <c r="L97" s="3" t="n">
        <v>112</v>
      </c>
      <c r="M97" s="3">
        <f>SUM(C97:L97)</f>
        <v/>
      </c>
    </row>
    <row r="98">
      <c r="A98" s="2" t="inlineStr">
        <is>
          <t>2026-10-30 14:00</t>
        </is>
      </c>
      <c r="B98" s="3" t="n">
        <v>7</v>
      </c>
      <c r="C98" s="3" t="n">
        <v>114</v>
      </c>
      <c r="D98" s="3" t="n">
        <v>76</v>
      </c>
      <c r="E98" s="3" t="n">
        <v>133</v>
      </c>
      <c r="F98" s="3" t="n">
        <v>244</v>
      </c>
      <c r="G98" s="3" t="n">
        <v>134</v>
      </c>
      <c r="H98" s="3" t="n">
        <v>114</v>
      </c>
      <c r="I98" s="3" t="n">
        <v>130</v>
      </c>
      <c r="J98" s="3" t="n">
        <v>118</v>
      </c>
      <c r="K98" s="3" t="n">
        <v>107</v>
      </c>
      <c r="L98" s="3" t="n">
        <v>112</v>
      </c>
      <c r="M98" s="3">
        <f>SUM(C98:L98)</f>
        <v/>
      </c>
    </row>
    <row r="99">
      <c r="A99" s="2" t="inlineStr">
        <is>
          <t>2026-10-30 15:00</t>
        </is>
      </c>
      <c r="B99" s="3" t="n">
        <v>7</v>
      </c>
      <c r="C99" s="3" t="n">
        <v>114</v>
      </c>
      <c r="D99" s="3" t="n">
        <v>76</v>
      </c>
      <c r="E99" s="3" t="n">
        <v>133</v>
      </c>
      <c r="F99" s="3" t="n">
        <v>244</v>
      </c>
      <c r="G99" s="3" t="n">
        <v>134</v>
      </c>
      <c r="H99" s="3" t="n">
        <v>114</v>
      </c>
      <c r="I99" s="3" t="n">
        <v>130</v>
      </c>
      <c r="J99" s="3" t="n">
        <v>118</v>
      </c>
      <c r="K99" s="3" t="n">
        <v>107</v>
      </c>
      <c r="L99" s="3" t="n">
        <v>112</v>
      </c>
      <c r="M99" s="3">
        <f>SUM(C99:L99)</f>
        <v/>
      </c>
    </row>
    <row r="100">
      <c r="A100" s="2" t="inlineStr">
        <is>
          <t>2026-10-30 16:00</t>
        </is>
      </c>
      <c r="B100" s="3" t="n">
        <v>7</v>
      </c>
      <c r="C100" s="3" t="n">
        <v>114</v>
      </c>
      <c r="D100" s="3" t="n">
        <v>76</v>
      </c>
      <c r="E100" s="3" t="n">
        <v>133</v>
      </c>
      <c r="F100" s="3" t="n">
        <v>244</v>
      </c>
      <c r="G100" s="3" t="n">
        <v>134</v>
      </c>
      <c r="H100" s="3" t="n">
        <v>114</v>
      </c>
      <c r="I100" s="3" t="n">
        <v>130</v>
      </c>
      <c r="J100" s="3" t="n">
        <v>118</v>
      </c>
      <c r="K100" s="3" t="n">
        <v>107</v>
      </c>
      <c r="L100" s="3" t="n">
        <v>112</v>
      </c>
      <c r="M100" s="3">
        <f>SUM(C100:L100)</f>
        <v/>
      </c>
    </row>
    <row r="101">
      <c r="A101" s="2" t="inlineStr">
        <is>
          <t>2026-10-30 17:00</t>
        </is>
      </c>
      <c r="B101" s="3" t="n">
        <v>7</v>
      </c>
      <c r="C101" s="3" t="n">
        <v>114</v>
      </c>
      <c r="D101" s="3" t="n">
        <v>76</v>
      </c>
      <c r="E101" s="3" t="n">
        <v>133</v>
      </c>
      <c r="F101" s="3" t="n">
        <v>244</v>
      </c>
      <c r="G101" s="3" t="n">
        <v>134</v>
      </c>
      <c r="H101" s="3" t="n">
        <v>114</v>
      </c>
      <c r="I101" s="3" t="n">
        <v>130</v>
      </c>
      <c r="J101" s="3" t="n">
        <v>118</v>
      </c>
      <c r="K101" s="3" t="n">
        <v>107</v>
      </c>
      <c r="L101" s="3" t="n">
        <v>112</v>
      </c>
      <c r="M101" s="3">
        <f>SUM(C101:L101)</f>
        <v/>
      </c>
    </row>
    <row r="102">
      <c r="A102" s="2" t="inlineStr">
        <is>
          <t>2026-10-30 18:00</t>
        </is>
      </c>
      <c r="B102" s="3" t="n">
        <v>7</v>
      </c>
      <c r="C102" s="3" t="n">
        <v>114</v>
      </c>
      <c r="D102" s="3" t="n">
        <v>76</v>
      </c>
      <c r="E102" s="3" t="n">
        <v>133</v>
      </c>
      <c r="F102" s="3" t="n">
        <v>244</v>
      </c>
      <c r="G102" s="3" t="n">
        <v>134</v>
      </c>
      <c r="H102" s="3" t="n">
        <v>114</v>
      </c>
      <c r="I102" s="3" t="n">
        <v>130</v>
      </c>
      <c r="J102" s="3" t="n">
        <v>118</v>
      </c>
      <c r="K102" s="3" t="n">
        <v>107</v>
      </c>
      <c r="L102" s="3" t="n">
        <v>112</v>
      </c>
      <c r="M102" s="3">
        <f>SUM(C102:L102)</f>
        <v/>
      </c>
    </row>
    <row r="103">
      <c r="A103" s="2" t="inlineStr">
        <is>
          <t>2026-10-30 19:00</t>
        </is>
      </c>
      <c r="B103" s="3" t="n">
        <v>7</v>
      </c>
      <c r="C103" s="3" t="n">
        <v>114</v>
      </c>
      <c r="D103" s="3" t="n">
        <v>76</v>
      </c>
      <c r="E103" s="3" t="n">
        <v>133</v>
      </c>
      <c r="F103" s="3" t="n">
        <v>244</v>
      </c>
      <c r="G103" s="3" t="n">
        <v>134</v>
      </c>
      <c r="H103" s="3" t="n">
        <v>114</v>
      </c>
      <c r="I103" s="3" t="n">
        <v>130</v>
      </c>
      <c r="J103" s="3" t="n">
        <v>118</v>
      </c>
      <c r="K103" s="3" t="n">
        <v>107</v>
      </c>
      <c r="L103" s="3" t="n">
        <v>112</v>
      </c>
      <c r="M103" s="3">
        <f>SUM(C103:L103)</f>
        <v/>
      </c>
    </row>
    <row r="104">
      <c r="A104" s="2" t="inlineStr">
        <is>
          <t>2026-10-30 20:00</t>
        </is>
      </c>
      <c r="B104" s="3" t="n">
        <v>7</v>
      </c>
      <c r="C104" s="3" t="n">
        <v>114</v>
      </c>
      <c r="D104" s="3" t="n">
        <v>76</v>
      </c>
      <c r="E104" s="3" t="n">
        <v>133</v>
      </c>
      <c r="F104" s="3" t="n">
        <v>244</v>
      </c>
      <c r="G104" s="3" t="n">
        <v>134</v>
      </c>
      <c r="H104" s="3" t="n">
        <v>114</v>
      </c>
      <c r="I104" s="3" t="n">
        <v>130</v>
      </c>
      <c r="J104" s="3" t="n">
        <v>118</v>
      </c>
      <c r="K104" s="3" t="n">
        <v>107</v>
      </c>
      <c r="L104" s="3" t="n">
        <v>112</v>
      </c>
      <c r="M104" s="3">
        <f>SUM(C104:L104)</f>
        <v/>
      </c>
    </row>
    <row r="105">
      <c r="A105" s="2" t="inlineStr">
        <is>
          <t>2026-10-30 21:00</t>
        </is>
      </c>
      <c r="B105" s="3" t="n">
        <v>7</v>
      </c>
      <c r="C105" s="3" t="n">
        <v>114</v>
      </c>
      <c r="D105" s="3" t="n">
        <v>76</v>
      </c>
      <c r="E105" s="3" t="n">
        <v>133</v>
      </c>
      <c r="F105" s="3" t="n">
        <v>244</v>
      </c>
      <c r="G105" s="3" t="n">
        <v>134</v>
      </c>
      <c r="H105" s="3" t="n">
        <v>114</v>
      </c>
      <c r="I105" s="3" t="n">
        <v>130</v>
      </c>
      <c r="J105" s="3" t="n">
        <v>118</v>
      </c>
      <c r="K105" s="3" t="n">
        <v>107</v>
      </c>
      <c r="L105" s="3" t="n">
        <v>112</v>
      </c>
      <c r="M105" s="3">
        <f>SUM(C105:L105)</f>
        <v/>
      </c>
    </row>
    <row r="106">
      <c r="A106" s="2" t="inlineStr">
        <is>
          <t>2026-10-30 22:00</t>
        </is>
      </c>
      <c r="B106" s="3" t="n">
        <v>7</v>
      </c>
      <c r="C106" s="3" t="n">
        <v>114</v>
      </c>
      <c r="D106" s="3" t="n">
        <v>76</v>
      </c>
      <c r="E106" s="3" t="n">
        <v>133</v>
      </c>
      <c r="F106" s="3" t="n">
        <v>244</v>
      </c>
      <c r="G106" s="3" t="n">
        <v>134</v>
      </c>
      <c r="H106" s="3" t="n">
        <v>114</v>
      </c>
      <c r="I106" s="3" t="n">
        <v>130</v>
      </c>
      <c r="J106" s="3" t="n">
        <v>118</v>
      </c>
      <c r="K106" s="3" t="n">
        <v>107</v>
      </c>
      <c r="L106" s="3" t="n">
        <v>112</v>
      </c>
      <c r="M106" s="3">
        <f>SUM(C106:L106)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IF('Heure par heure'!G91="","",'Heure par heure'!G91-N('Heure par heure'!G90))</f>
        <v/>
      </c>
      <c r="G91" s="3">
        <f>IF('Heure par heure'!H91="","",'Heure par heure'!H91-N('Heure par heure'!H90))</f>
        <v/>
      </c>
      <c r="H91" s="3">
        <f>IF('Heure par heure'!I91="","",'Heure par heure'!I91-N('Heure par heure'!I90))</f>
        <v/>
      </c>
      <c r="I91" s="3">
        <f>IF('Heure par heure'!J91="","",'Heure par heure'!J91-N('Heure par heure'!J90))</f>
        <v/>
      </c>
      <c r="J91" s="3">
        <f>IF('Heure par heure'!K91="","",'Heure par heure'!K91-N('Heure par heure'!K90))</f>
        <v/>
      </c>
      <c r="K91" s="3">
        <f>IF('Heure par heure'!L91="","",'Heure par heure'!L91-N('Heure par heure'!L90))</f>
        <v/>
      </c>
      <c r="L91" s="3">
        <f>SUM(B91:K91)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IF('Heure par heure'!G92="","",'Heure par heure'!G92-N('Heure par heure'!G91))</f>
        <v/>
      </c>
      <c r="G92" s="3">
        <f>IF('Heure par heure'!H92="","",'Heure par heure'!H92-N('Heure par heure'!H91))</f>
        <v/>
      </c>
      <c r="H92" s="3">
        <f>IF('Heure par heure'!I92="","",'Heure par heure'!I92-N('Heure par heure'!I91))</f>
        <v/>
      </c>
      <c r="I92" s="3">
        <f>IF('Heure par heure'!J92="","",'Heure par heure'!J92-N('Heure par heure'!J91))</f>
        <v/>
      </c>
      <c r="J92" s="3">
        <f>IF('Heure par heure'!K92="","",'Heure par heure'!K92-N('Heure par heure'!K91))</f>
        <v/>
      </c>
      <c r="K92" s="3">
        <f>IF('Heure par heure'!L92="","",'Heure par heure'!L92-N('Heure par heure'!L91))</f>
        <v/>
      </c>
      <c r="L92" s="3">
        <f>SUM(B92:K92)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IF('Heure par heure'!G93="","",'Heure par heure'!G93-N('Heure par heure'!G92))</f>
        <v/>
      </c>
      <c r="G93" s="3">
        <f>IF('Heure par heure'!H93="","",'Heure par heure'!H93-N('Heure par heure'!H92))</f>
        <v/>
      </c>
      <c r="H93" s="3">
        <f>IF('Heure par heure'!I93="","",'Heure par heure'!I93-N('Heure par heure'!I92))</f>
        <v/>
      </c>
      <c r="I93" s="3">
        <f>IF('Heure par heure'!J93="","",'Heure par heure'!J93-N('Heure par heure'!J92))</f>
        <v/>
      </c>
      <c r="J93" s="3">
        <f>IF('Heure par heure'!K93="","",'Heure par heure'!K93-N('Heure par heure'!K92))</f>
        <v/>
      </c>
      <c r="K93" s="3">
        <f>IF('Heure par heure'!L93="","",'Heure par heure'!L93-N('Heure par heure'!L92))</f>
        <v/>
      </c>
      <c r="L93" s="3">
        <f>SUM(B93:K93)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IF('Heure par heure'!G94="","",'Heure par heure'!G94-N('Heure par heure'!G93))</f>
        <v/>
      </c>
      <c r="G94" s="3">
        <f>IF('Heure par heure'!H94="","",'Heure par heure'!H94-N('Heure par heure'!H93))</f>
        <v/>
      </c>
      <c r="H94" s="3">
        <f>IF('Heure par heure'!I94="","",'Heure par heure'!I94-N('Heure par heure'!I93))</f>
        <v/>
      </c>
      <c r="I94" s="3">
        <f>IF('Heure par heure'!J94="","",'Heure par heure'!J94-N('Heure par heure'!J93))</f>
        <v/>
      </c>
      <c r="J94" s="3">
        <f>IF('Heure par heure'!K94="","",'Heure par heure'!K94-N('Heure par heure'!K93))</f>
        <v/>
      </c>
      <c r="K94" s="3">
        <f>IF('Heure par heure'!L94="","",'Heure par heure'!L94-N('Heure par heure'!L93))</f>
        <v/>
      </c>
      <c r="L94" s="3">
        <f>SUM(B94:K94)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IF('Heure par heure'!G95="","",'Heure par heure'!G95-N('Heure par heure'!G94))</f>
        <v/>
      </c>
      <c r="G95" s="3">
        <f>IF('Heure par heure'!H95="","",'Heure par heure'!H95-N('Heure par heure'!H94))</f>
        <v/>
      </c>
      <c r="H95" s="3">
        <f>IF('Heure par heure'!I95="","",'Heure par heure'!I95-N('Heure par heure'!I94))</f>
        <v/>
      </c>
      <c r="I95" s="3">
        <f>IF('Heure par heure'!J95="","",'Heure par heure'!J95-N('Heure par heure'!J94))</f>
        <v/>
      </c>
      <c r="J95" s="3">
        <f>IF('Heure par heure'!K95="","",'Heure par heure'!K95-N('Heure par heure'!K94))</f>
        <v/>
      </c>
      <c r="K95" s="3">
        <f>IF('Heure par heure'!L95="","",'Heure par heure'!L95-N('Heure par heure'!L94))</f>
        <v/>
      </c>
      <c r="L95" s="3">
        <f>SUM(B95:K95)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IF('Heure par heure'!G96="","",'Heure par heure'!G96-N('Heure par heure'!G95))</f>
        <v/>
      </c>
      <c r="G96" s="3">
        <f>IF('Heure par heure'!H96="","",'Heure par heure'!H96-N('Heure par heure'!H95))</f>
        <v/>
      </c>
      <c r="H96" s="3">
        <f>IF('Heure par heure'!I96="","",'Heure par heure'!I96-N('Heure par heure'!I95))</f>
        <v/>
      </c>
      <c r="I96" s="3">
        <f>IF('Heure par heure'!J96="","",'Heure par heure'!J96-N('Heure par heure'!J95))</f>
        <v/>
      </c>
      <c r="J96" s="3">
        <f>IF('Heure par heure'!K96="","",'Heure par heure'!K96-N('Heure par heure'!K95))</f>
        <v/>
      </c>
      <c r="K96" s="3">
        <f>IF('Heure par heure'!L96="","",'Heure par heure'!L96-N('Heure par heure'!L95))</f>
        <v/>
      </c>
      <c r="L96" s="3">
        <f>SUM(B96:K96)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IF('Heure par heure'!G97="","",'Heure par heure'!G97-N('Heure par heure'!G96))</f>
        <v/>
      </c>
      <c r="G97" s="3">
        <f>IF('Heure par heure'!H97="","",'Heure par heure'!H97-N('Heure par heure'!H96))</f>
        <v/>
      </c>
      <c r="H97" s="3">
        <f>IF('Heure par heure'!I97="","",'Heure par heure'!I97-N('Heure par heure'!I96))</f>
        <v/>
      </c>
      <c r="I97" s="3">
        <f>IF('Heure par heure'!J97="","",'Heure par heure'!J97-N('Heure par heure'!J96))</f>
        <v/>
      </c>
      <c r="J97" s="3">
        <f>IF('Heure par heure'!K97="","",'Heure par heure'!K97-N('Heure par heure'!K96))</f>
        <v/>
      </c>
      <c r="K97" s="3">
        <f>IF('Heure par heure'!L97="","",'Heure par heure'!L97-N('Heure par heure'!L96))</f>
        <v/>
      </c>
      <c r="L97" s="3">
        <f>SUM(B97:K97)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IF('Heure par heure'!F98="","",'Heure par heure'!F98-N('Heure par heure'!F97))</f>
        <v/>
      </c>
      <c r="F98" s="3">
        <f>IF('Heure par heure'!G98="","",'Heure par heure'!G98-N('Heure par heure'!G97))</f>
        <v/>
      </c>
      <c r="G98" s="3">
        <f>IF('Heure par heure'!H98="","",'Heure par heure'!H98-N('Heure par heure'!H97))</f>
        <v/>
      </c>
      <c r="H98" s="3">
        <f>IF('Heure par heure'!I98="","",'Heure par heure'!I98-N('Heure par heure'!I97))</f>
        <v/>
      </c>
      <c r="I98" s="3">
        <f>IF('Heure par heure'!J98="","",'Heure par heure'!J98-N('Heure par heure'!J97))</f>
        <v/>
      </c>
      <c r="J98" s="3">
        <f>IF('Heure par heure'!K98="","",'Heure par heure'!K98-N('Heure par heure'!K97))</f>
        <v/>
      </c>
      <c r="K98" s="3">
        <f>IF('Heure par heure'!L98="","",'Heure par heure'!L98-N('Heure par heure'!L97))</f>
        <v/>
      </c>
      <c r="L98" s="3">
        <f>SUM(B98:K98)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IF('Heure par heure'!F99="","",'Heure par heure'!F99-N('Heure par heure'!F98))</f>
        <v/>
      </c>
      <c r="F99" s="3">
        <f>IF('Heure par heure'!G99="","",'Heure par heure'!G99-N('Heure par heure'!G98))</f>
        <v/>
      </c>
      <c r="G99" s="3">
        <f>IF('Heure par heure'!H99="","",'Heure par heure'!H99-N('Heure par heure'!H98))</f>
        <v/>
      </c>
      <c r="H99" s="3">
        <f>IF('Heure par heure'!I99="","",'Heure par heure'!I99-N('Heure par heure'!I98))</f>
        <v/>
      </c>
      <c r="I99" s="3">
        <f>IF('Heure par heure'!J99="","",'Heure par heure'!J99-N('Heure par heure'!J98))</f>
        <v/>
      </c>
      <c r="J99" s="3">
        <f>IF('Heure par heure'!K99="","",'Heure par heure'!K99-N('Heure par heure'!K98))</f>
        <v/>
      </c>
      <c r="K99" s="3">
        <f>IF('Heure par heure'!L99="","",'Heure par heure'!L99-N('Heure par heure'!L98))</f>
        <v/>
      </c>
      <c r="L99" s="3">
        <f>SUM(B99:K99)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IF('Heure par heure'!E100="","",'Heure par heure'!E100-N('Heure par heure'!E99))</f>
        <v/>
      </c>
      <c r="E100" s="3">
        <f>IF('Heure par heure'!F100="","",'Heure par heure'!F100-N('Heure par heure'!F99))</f>
        <v/>
      </c>
      <c r="F100" s="3">
        <f>IF('Heure par heure'!G100="","",'Heure par heure'!G100-N('Heure par heure'!G99))</f>
        <v/>
      </c>
      <c r="G100" s="3">
        <f>IF('Heure par heure'!H100="","",'Heure par heure'!H100-N('Heure par heure'!H99))</f>
        <v/>
      </c>
      <c r="H100" s="3">
        <f>IF('Heure par heure'!I100="","",'Heure par heure'!I100-N('Heure par heure'!I99))</f>
        <v/>
      </c>
      <c r="I100" s="3">
        <f>IF('Heure par heure'!J100="","",'Heure par heure'!J100-N('Heure par heure'!J99))</f>
        <v/>
      </c>
      <c r="J100" s="3">
        <f>IF('Heure par heure'!K100="","",'Heure par heure'!K100-N('Heure par heure'!K99))</f>
        <v/>
      </c>
      <c r="K100" s="3">
        <f>IF('Heure par heure'!L100="","",'Heure par heure'!L100-N('Heure par heure'!L99))</f>
        <v/>
      </c>
      <c r="L100" s="3">
        <f>SUM(B100:K100)</f>
        <v/>
      </c>
    </row>
    <row r="101">
      <c r="A101" s="2">
        <f>'Heure par heure'!A101</f>
        <v/>
      </c>
      <c r="B101" s="3">
        <f>IF('Heure par heure'!C101="","",'Heure par heure'!C101-N('Heure par heure'!C100))</f>
        <v/>
      </c>
      <c r="C101" s="3">
        <f>IF('Heure par heure'!D101="","",'Heure par heure'!D101-N('Heure par heure'!D100))</f>
        <v/>
      </c>
      <c r="D101" s="3">
        <f>IF('Heure par heure'!E101="","",'Heure par heure'!E101-N('Heure par heure'!E100))</f>
        <v/>
      </c>
      <c r="E101" s="3">
        <f>IF('Heure par heure'!F101="","",'Heure par heure'!F101-N('Heure par heure'!F100))</f>
        <v/>
      </c>
      <c r="F101" s="3">
        <f>IF('Heure par heure'!G101="","",'Heure par heure'!G101-N('Heure par heure'!G100))</f>
        <v/>
      </c>
      <c r="G101" s="3">
        <f>IF('Heure par heure'!H101="","",'Heure par heure'!H101-N('Heure par heure'!H100))</f>
        <v/>
      </c>
      <c r="H101" s="3">
        <f>IF('Heure par heure'!I101="","",'Heure par heure'!I101-N('Heure par heure'!I100))</f>
        <v/>
      </c>
      <c r="I101" s="3">
        <f>IF('Heure par heure'!J101="","",'Heure par heure'!J101-N('Heure par heure'!J100))</f>
        <v/>
      </c>
      <c r="J101" s="3">
        <f>IF('Heure par heure'!K101="","",'Heure par heure'!K101-N('Heure par heure'!K100))</f>
        <v/>
      </c>
      <c r="K101" s="3">
        <f>IF('Heure par heure'!L101="","",'Heure par heure'!L101-N('Heure par heure'!L100))</f>
        <v/>
      </c>
      <c r="L101" s="3">
        <f>SUM(B101:K101)</f>
        <v/>
      </c>
    </row>
    <row r="102">
      <c r="A102" s="2">
        <f>'Heure par heure'!A102</f>
        <v/>
      </c>
      <c r="B102" s="3">
        <f>IF('Heure par heure'!C102="","",'Heure par heure'!C102-N('Heure par heure'!C101))</f>
        <v/>
      </c>
      <c r="C102" s="3">
        <f>IF('Heure par heure'!D102="","",'Heure par heure'!D102-N('Heure par heure'!D101))</f>
        <v/>
      </c>
      <c r="D102" s="3">
        <f>IF('Heure par heure'!E102="","",'Heure par heure'!E102-N('Heure par heure'!E101))</f>
        <v/>
      </c>
      <c r="E102" s="3">
        <f>IF('Heure par heure'!F102="","",'Heure par heure'!F102-N('Heure par heure'!F101))</f>
        <v/>
      </c>
      <c r="F102" s="3">
        <f>IF('Heure par heure'!G102="","",'Heure par heure'!G102-N('Heure par heure'!G101))</f>
        <v/>
      </c>
      <c r="G102" s="3">
        <f>IF('Heure par heure'!H102="","",'Heure par heure'!H102-N('Heure par heure'!H101))</f>
        <v/>
      </c>
      <c r="H102" s="3">
        <f>IF('Heure par heure'!I102="","",'Heure par heure'!I102-N('Heure par heure'!I101))</f>
        <v/>
      </c>
      <c r="I102" s="3">
        <f>IF('Heure par heure'!J102="","",'Heure par heure'!J102-N('Heure par heure'!J101))</f>
        <v/>
      </c>
      <c r="J102" s="3">
        <f>IF('Heure par heure'!K102="","",'Heure par heure'!K102-N('Heure par heure'!K101))</f>
        <v/>
      </c>
      <c r="K102" s="3">
        <f>IF('Heure par heure'!L102="","",'Heure par heure'!L102-N('Heure par heure'!L101))</f>
        <v/>
      </c>
      <c r="L102" s="3">
        <f>SUM(B102:K102)</f>
        <v/>
      </c>
    </row>
    <row r="103">
      <c r="A103" s="2">
        <f>'Heure par heure'!A103</f>
        <v/>
      </c>
      <c r="B103" s="3">
        <f>IF('Heure par heure'!C103="","",'Heure par heure'!C103-N('Heure par heure'!C102))</f>
        <v/>
      </c>
      <c r="C103" s="3">
        <f>IF('Heure par heure'!D103="","",'Heure par heure'!D103-N('Heure par heure'!D102))</f>
        <v/>
      </c>
      <c r="D103" s="3">
        <f>IF('Heure par heure'!E103="","",'Heure par heure'!E103-N('Heure par heure'!E102))</f>
        <v/>
      </c>
      <c r="E103" s="3">
        <f>IF('Heure par heure'!F103="","",'Heure par heure'!F103-N('Heure par heure'!F102))</f>
        <v/>
      </c>
      <c r="F103" s="3">
        <f>IF('Heure par heure'!G103="","",'Heure par heure'!G103-N('Heure par heure'!G102))</f>
        <v/>
      </c>
      <c r="G103" s="3">
        <f>IF('Heure par heure'!H103="","",'Heure par heure'!H103-N('Heure par heure'!H102))</f>
        <v/>
      </c>
      <c r="H103" s="3">
        <f>IF('Heure par heure'!I103="","",'Heure par heure'!I103-N('Heure par heure'!I102))</f>
        <v/>
      </c>
      <c r="I103" s="3">
        <f>IF('Heure par heure'!J103="","",'Heure par heure'!J103-N('Heure par heure'!J102))</f>
        <v/>
      </c>
      <c r="J103" s="3">
        <f>IF('Heure par heure'!K103="","",'Heure par heure'!K103-N('Heure par heure'!K102))</f>
        <v/>
      </c>
      <c r="K103" s="3">
        <f>IF('Heure par heure'!L103="","",'Heure par heure'!L103-N('Heure par heure'!L102))</f>
        <v/>
      </c>
      <c r="L103" s="3">
        <f>SUM(B103:K103)</f>
        <v/>
      </c>
    </row>
    <row r="104">
      <c r="A104" s="2">
        <f>'Heure par heure'!A104</f>
        <v/>
      </c>
      <c r="B104" s="3">
        <f>IF('Heure par heure'!C104="","",'Heure par heure'!C104-N('Heure par heure'!C103))</f>
        <v/>
      </c>
      <c r="C104" s="3">
        <f>IF('Heure par heure'!D104="","",'Heure par heure'!D104-N('Heure par heure'!D103))</f>
        <v/>
      </c>
      <c r="D104" s="3">
        <f>IF('Heure par heure'!E104="","",'Heure par heure'!E104-N('Heure par heure'!E103))</f>
        <v/>
      </c>
      <c r="E104" s="3">
        <f>IF('Heure par heure'!F104="","",'Heure par heure'!F104-N('Heure par heure'!F103))</f>
        <v/>
      </c>
      <c r="F104" s="3">
        <f>IF('Heure par heure'!G104="","",'Heure par heure'!G104-N('Heure par heure'!G103))</f>
        <v/>
      </c>
      <c r="G104" s="3">
        <f>IF('Heure par heure'!H104="","",'Heure par heure'!H104-N('Heure par heure'!H103))</f>
        <v/>
      </c>
      <c r="H104" s="3">
        <f>IF('Heure par heure'!I104="","",'Heure par heure'!I104-N('Heure par heure'!I103))</f>
        <v/>
      </c>
      <c r="I104" s="3">
        <f>IF('Heure par heure'!J104="","",'Heure par heure'!J104-N('Heure par heure'!J103))</f>
        <v/>
      </c>
      <c r="J104" s="3">
        <f>IF('Heure par heure'!K104="","",'Heure par heure'!K104-N('Heure par heure'!K103))</f>
        <v/>
      </c>
      <c r="K104" s="3">
        <f>IF('Heure par heure'!L104="","",'Heure par heure'!L104-N('Heure par heure'!L103))</f>
        <v/>
      </c>
      <c r="L104" s="3">
        <f>SUM(B104:K104)</f>
        <v/>
      </c>
    </row>
    <row r="105">
      <c r="A105" s="2">
        <f>'Heure par heure'!A105</f>
        <v/>
      </c>
      <c r="B105" s="3">
        <f>IF('Heure par heure'!C105="","",'Heure par heure'!C105-N('Heure par heure'!C104))</f>
        <v/>
      </c>
      <c r="C105" s="3">
        <f>IF('Heure par heure'!D105="","",'Heure par heure'!D105-N('Heure par heure'!D104))</f>
        <v/>
      </c>
      <c r="D105" s="3">
        <f>IF('Heure par heure'!E105="","",'Heure par heure'!E105-N('Heure par heure'!E104))</f>
        <v/>
      </c>
      <c r="E105" s="3">
        <f>IF('Heure par heure'!F105="","",'Heure par heure'!F105-N('Heure par heure'!F104))</f>
        <v/>
      </c>
      <c r="F105" s="3">
        <f>IF('Heure par heure'!G105="","",'Heure par heure'!G105-N('Heure par heure'!G104))</f>
        <v/>
      </c>
      <c r="G105" s="3">
        <f>IF('Heure par heure'!H105="","",'Heure par heure'!H105-N('Heure par heure'!H104))</f>
        <v/>
      </c>
      <c r="H105" s="3">
        <f>IF('Heure par heure'!I105="","",'Heure par heure'!I105-N('Heure par heure'!I104))</f>
        <v/>
      </c>
      <c r="I105" s="3">
        <f>IF('Heure par heure'!J105="","",'Heure par heure'!J105-N('Heure par heure'!J104))</f>
        <v/>
      </c>
      <c r="J105" s="3">
        <f>IF('Heure par heure'!K105="","",'Heure par heure'!K105-N('Heure par heure'!K104))</f>
        <v/>
      </c>
      <c r="K105" s="3">
        <f>IF('Heure par heure'!L105="","",'Heure par heure'!L105-N('Heure par heure'!L104))</f>
        <v/>
      </c>
      <c r="L105" s="3">
        <f>SUM(B105:K105)</f>
        <v/>
      </c>
    </row>
    <row r="106">
      <c r="A106" s="2">
        <f>'Heure par heure'!A106</f>
        <v/>
      </c>
      <c r="B106" s="3">
        <f>IF('Heure par heure'!C106="","",'Heure par heure'!C106-N('Heure par heure'!C105))</f>
        <v/>
      </c>
      <c r="C106" s="3">
        <f>IF('Heure par heure'!D106="","",'Heure par heure'!D106-N('Heure par heure'!D105))</f>
        <v/>
      </c>
      <c r="D106" s="3">
        <f>IF('Heure par heure'!E106="","",'Heure par heure'!E106-N('Heure par heure'!E105))</f>
        <v/>
      </c>
      <c r="E106" s="3">
        <f>IF('Heure par heure'!F106="","",'Heure par heure'!F106-N('Heure par heure'!F105))</f>
        <v/>
      </c>
      <c r="F106" s="3">
        <f>IF('Heure par heure'!G106="","",'Heure par heure'!G106-N('Heure par heure'!G105))</f>
        <v/>
      </c>
      <c r="G106" s="3">
        <f>IF('Heure par heure'!H106="","",'Heure par heure'!H106-N('Heure par heure'!H105))</f>
        <v/>
      </c>
      <c r="H106" s="3">
        <f>IF('Heure par heure'!I106="","",'Heure par heure'!I106-N('Heure par heure'!I105))</f>
        <v/>
      </c>
      <c r="I106" s="3">
        <f>IF('Heure par heure'!J106="","",'Heure par heure'!J106-N('Heure par heure'!J105))</f>
        <v/>
      </c>
      <c r="J106" s="3">
        <f>IF('Heure par heure'!K106="","",'Heure par heure'!K106-N('Heure par heure'!K105))</f>
        <v/>
      </c>
      <c r="K106" s="3">
        <f>IF('Heure par heure'!L106="","",'Heure par heure'!L106-N('Heure par heure'!L105))</f>
        <v/>
      </c>
      <c r="L106" s="3">
        <f>SUM(B106:K106)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2026-10-30T21:14:22Z</dcterms:created>
  <dcterms:modified xsi:type="dcterms:W3CDTF">2026-10-30T21:14:22Z</dcterms:modified>
</cp:coreProperties>
</file>