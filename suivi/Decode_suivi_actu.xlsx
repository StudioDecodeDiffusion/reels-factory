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ur par jour" sheetId="1" state="visible" r:id="rId1"/>
    <sheet xmlns:r="http://schemas.openxmlformats.org/officeDocument/2006/relationships" name="Vidéos" sheetId="2" state="visible" r:id="rId2"/>
    <sheet xmlns:r="http://schemas.openxmlformats.org/officeDocument/2006/relationships" name="Évolution par vidéo" sheetId="3" state="visible" r:id="rId3"/>
    <sheet xmlns:r="http://schemas.openxmlformats.org/officeDocument/2006/relationships" name="Stories" sheetId="4" state="visible" r:id="rId4"/>
    <sheet xmlns:r="http://schemas.openxmlformats.org/officeDocument/2006/relationships" name="À li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xmlns:a="http://schemas.openxmlformats.org/drawingml/2006/main"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5133A"/>
              </a:solidFill>
              <a:ln xmlns:a="http://schemas.openxmlformats.org/drawingml/2006/main"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 xmlns:a="http://schemas.openxmlformats.org/drawingml/2006/main">
              <a:srgbClr val="3D5AFE"/>
            </a:solidFill>
            <a:ln xmlns:a="http://schemas.openxmlformats.org/drawingml/2006/main"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 xmlns:a="http://schemas.openxmlformats.org/drawingml/2006/main">
              <a:srgbClr val="FF8A1F"/>
            </a:solidFill>
            <a:ln xmlns:a="http://schemas.openxmlformats.org/drawingml/2006/main"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xmlns:a="http://schemas.openxmlformats.org/drawingml/2006/main"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8E5CFF"/>
              </a:solidFill>
              <a:ln xmlns:a="http://schemas.openxmlformats.org/drawingml/2006/main"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xmlns:a="http://schemas.openxmlformats.org/drawingml/2006/main"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B8D4"/>
              </a:solidFill>
              <a:ln xmlns:a="http://schemas.openxmlformats.org/drawingml/2006/main"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 xmlns:a="http://schemas.openxmlformats.org/drawingml/2006/main">
              <a:srgbClr val="3D5AFE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 xmlns:a="http://schemas.openxmlformats.org/drawingml/2006/main">
              <a:srgbClr val="FF4F81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'Vidéos'!$F$2:$F$6</f>
            </numRef>
          </val>
        </ser>
        <ser>
          <idx val="1"/>
          <order val="1"/>
          <tx>
            <strRef>
              <f>'Vidéos'!G1</f>
            </strRef>
          </tx>
          <spPr>
            <a:solidFill xmlns:a="http://schemas.openxmlformats.org/drawingml/2006/main">
              <a:srgbClr val="8E5CFF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'Vidéos'!$G$2:$G$6</f>
            </numRef>
          </val>
        </ser>
        <ser>
          <idx val="2"/>
          <order val="2"/>
          <tx>
            <strRef>
              <f>'Vidéos'!H1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'Vidéos'!$H$2:$H$6</f>
            </numRef>
          </val>
        </ser>
        <ser>
          <idx val="3"/>
          <order val="3"/>
          <tx>
            <strRef>
              <f>'Vidéos'!I1</f>
            </strRef>
          </tx>
          <spPr>
            <a:solidFill xmlns:a="http://schemas.openxmlformats.org/drawingml/2006/main">
              <a:srgbClr val="FF8A1F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'Vidéos'!$I$2:$I$6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 xmlns:a="http://schemas.openxmlformats.org/drawingml/2006/main">
              <a:srgbClr val="E5133A"/>
            </a:solidFill>
            <a:ln xmlns:a="http://schemas.openxmlformats.org/drawingml/2006/main">
              <a:prstDash val="solid"/>
            </a:ln>
          </spPr>
          <cat>
            <numRef>
              <f>'Vidéos'!$B$2:$B$6</f>
            </numRef>
          </cat>
          <val>
            <numRef>
              <f>'Vidéos'!$K$2:$K$6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vidéo'!$C$2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vidéo'!$D$2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vidéo'!$E$2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vidéo'!$F$2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 xmlns:a="http://schemas.openxmlformats.org/drawingml/2006/main">
              <a:srgbClr val="FF8A1F"/>
            </a:solidFill>
            <a:ln xmlns:a="http://schemas.openxmlformats.org/drawingml/2006/main">
              <a:prstDash val="solid"/>
            </a:ln>
          </spPr>
          <cat>
            <numRef>
              <f>'Stories'!$A$2:$A$8</f>
            </numRef>
          </cat>
          <val>
            <numRef>
              <f>'Stories'!$B$2:$B$8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8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24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/><Relationship Type="http://schemas.openxmlformats.org/officeDocument/2006/relationships/hyperlink" Target="https://www.instagram.com/reel/DeocTD9jGCs/" TargetMode="External" Id="rId2"/><Relationship Type="http://schemas.openxmlformats.org/officeDocument/2006/relationships/hyperlink" Target="https://www.instagram.com/reel/DeoeolIgUGY/" TargetMode="External" Id="rId3"/><Relationship Type="http://schemas.openxmlformats.org/officeDocument/2006/relationships/hyperlink" Target="https://www.instagram.com/reel/DeovxcBkRv_/" TargetMode="External" Id="rId4"/><Relationship Type="http://schemas.openxmlformats.org/officeDocument/2006/relationships/hyperlink" Target="https://www.instagram.com/reel/Deo1Sr6iZnW/" TargetMode="External" Id="rId5"/><Relationship Type="http://schemas.openxmlformats.org/officeDocument/2006/relationships/drawing" Target="/xl/drawings/drawing2.xml" Id="rId6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/><Relationship Type="http://schemas.openxmlformats.org/officeDocument/2006/relationships/hyperlink" Target="https://www.instagram.com/stories/decodeactu/4010085165683465949" TargetMode="External" Id="rId2"/><Relationship Type="http://schemas.openxmlformats.org/officeDocument/2006/relationships/hyperlink" Target="https://www.instagram.com/stories/decodeactu/4010580444979118418" TargetMode="External" Id="rId3"/><Relationship Type="http://schemas.openxmlformats.org/officeDocument/2006/relationships/hyperlink" Target="https://www.instagram.com/stories/decodeactu/4010591233256788578" TargetMode="External" Id="rId4"/><Relationship Type="http://schemas.openxmlformats.org/officeDocument/2006/relationships/hyperlink" Target="https://www.instagram.com/stories/decodeactu/4010666015784838411" TargetMode="External" Id="rId5"/><Relationship Type="http://schemas.openxmlformats.org/officeDocument/2006/relationships/hyperlink" Target="https://www.instagram.com/stories/decodeactu/4010666140154335585" TargetMode="External" Id="rId6"/><Relationship Type="http://schemas.openxmlformats.org/officeDocument/2006/relationships/hyperlink" Target="https://www.instagram.com/stories/decodeactu/4010690394136360817" TargetMode="External" Id="rId7"/><Relationship Type="http://schemas.openxmlformats.org/officeDocument/2006/relationships/drawing" Target="/xl/drawings/drawing4.xm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10</v>
      </c>
      <c r="M2" s="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325</v>
      </c>
      <c r="E2" s="3" t="n">
        <v>281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118</v>
      </c>
      <c r="E3" s="3" t="n">
        <v>106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116</v>
      </c>
      <c r="E4" s="3" t="n">
        <v>111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135</v>
      </c>
      <c r="E5" s="3" t="n">
        <v>118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174</v>
      </c>
      <c r="E6" s="3" t="n">
        <v>156</v>
      </c>
      <c r="F6" s="3" t="n">
        <v>4</v>
      </c>
      <c r="G6" s="3" t="n">
        <v>0</v>
      </c>
      <c r="H6" s="3" t="n">
        <v>0</v>
      </c>
      <c r="I6" s="3" t="n">
        <v>0</v>
      </c>
      <c r="J6" s="3" t="n">
        <v>5</v>
      </c>
      <c r="K6" s="5">
        <f>IFERROR((F6+G6+H6+I6)/IF(E6&gt;0,E6,D6),0)</f>
        <v/>
      </c>
      <c r="L6" s="6">
        <f>IFERROR(D6/E6,0)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</hyperlinks>
  <pageMargins left="0.75" right="0.75" top="1" bottom="1" header="0.5" footer="0.5"/>
  <drawing xmlns:r="http://schemas.openxmlformats.org/officeDocument/2006/relationships" r:id="rId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2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3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2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2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1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</hyperlinks>
  <pageMargins left="0.75" right="0.75" top="1" bottom="1" header="0.5" footer="0.5"/>
  <drawing xmlns:r="http://schemas.openxmlformats.org/officeDocument/2006/relationships" r:id="rId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@decodeactu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Taux d'engagement = (likes + commentaires + partages + enregistrements) / comptes touchés.</t>
        </is>
      </c>
    </row>
    <row r="6">
      <c r="A6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2026-10-18T16:35:04Z</dcterms:created>
  <dcterms:modified xmlns:dcterms="http://purl.org/dc/terms/" xmlns:xsi="http://www.w3.org/2001/XMLSchema-instance" xsi:type="dcterms:W3CDTF">2026-10-18T16:35:04Z</dcterms:modified>
</cp:coreProperties>
</file>