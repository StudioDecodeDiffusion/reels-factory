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jour'!$B$2:$B$8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jour'!$E$2:$E$8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jour'!$L$2:$L$8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jour'!$F$2:$F$8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jour'!$A$2:$A$8</f>
            </numRef>
          </cat>
          <val>
            <numRef>
              <f>'Jour par jour'!$H$2:$H$8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jour'!$A$2:$A$8</f>
            </numRef>
          </cat>
          <val>
            <numRef>
              <f>'Jour par jour'!$C$2:$C$8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'Vidéos'!$D$2:$D$16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'Vidéos'!$F$2:$F$16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'Vidéos'!$G$2:$G$16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'Vidéos'!$H$2:$H$16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'Vidéos'!$I$2:$I$16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'Vidéos'!$B$2:$B$16</f>
            </numRef>
          </cat>
          <val>
            <numRef>
              <f>'Vidéos'!$K$2:$K$16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vidéo'!$B$2:$B$8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vidéo'!$C$2:$C$8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vidéo'!$D$2:$D$8</f>
            </numRef>
          </val>
        </ser>
        <ser>
          <idx val="3"/>
          <order val="3"/>
          <tx>
            <strRef>
              <f>'Évolution par vidéo'!E1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vidéo'!$E$2:$E$8</f>
            </numRef>
          </val>
        </ser>
        <ser>
          <idx val="4"/>
          <order val="4"/>
          <tx>
            <strRef>
              <f>'Évolution par vidéo'!F1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vidéo'!$F$2:$F$8</f>
            </numRef>
          </val>
        </ser>
        <ser>
          <idx val="5"/>
          <order val="5"/>
          <tx>
            <strRef>
              <f>'Évolution par vidéo'!G1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vidéo'!$G$2:$G$8</f>
            </numRef>
          </val>
        </ser>
        <ser>
          <idx val="6"/>
          <order val="6"/>
          <tx>
            <strRef>
              <f>'Évolution par vidéo'!H1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vidéo'!$H$2:$H$8</f>
            </numRef>
          </val>
        </ser>
        <ser>
          <idx val="7"/>
          <order val="7"/>
          <tx>
            <strRef>
              <f>'Évolution par vidéo'!I1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vidéo'!$I$2:$I$8</f>
            </numRef>
          </val>
        </ser>
        <ser>
          <idx val="8"/>
          <order val="8"/>
          <tx>
            <strRef>
              <f>'Évolution par vidéo'!J1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vidéo'!$J$2:$J$8</f>
            </numRef>
          </val>
        </ser>
        <ser>
          <idx val="9"/>
          <order val="9"/>
          <tx>
            <strRef>
              <f>'Évolution par vidéo'!K1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vidéo'!$K$2:$K$8</f>
            </numRef>
          </val>
        </ser>
        <ser>
          <idx val="10"/>
          <order val="10"/>
          <tx>
            <strRef>
              <f>'Évolution par vidéo'!L1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vidéo'!$L$2:$L$8</f>
            </numRef>
          </val>
        </ser>
        <ser>
          <idx val="11"/>
          <order val="11"/>
          <tx>
            <strRef>
              <f>'Évolution par vidéo'!M1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vidéo'!$M$2:$M$8</f>
            </numRef>
          </val>
        </ser>
        <ser>
          <idx val="12"/>
          <order val="12"/>
          <tx>
            <strRef>
              <f>'Évolution par vidéo'!N1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vidéo'!$N$2:$N$8</f>
            </numRef>
          </val>
        </ser>
        <ser>
          <idx val="13"/>
          <order val="13"/>
          <tx>
            <strRef>
              <f>'Évolution par vidéo'!O1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vidéo'!$O$2:$O$8</f>
            </numRef>
          </val>
        </ser>
        <ser>
          <idx val="14"/>
          <order val="14"/>
          <tx>
            <strRef>
              <f>'Évolution par vidéo'!P1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vidéo'!$A$2:$A$8</f>
            </numRef>
          </cat>
          <val>
            <numRef>
              <f>'Évolution par vidéo'!$P$2:$P$8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vidéo'!$B$2:$B$8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vidéo'!$C$2:$C$8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vidéo'!$D$2:$D$8</f>
            </numRef>
          </val>
        </ser>
        <ser>
          <idx val="3"/>
          <order val="3"/>
          <tx>
            <strRef>
              <f>'Vues du jour par vidéo'!E1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vidéo'!$E$2:$E$8</f>
            </numRef>
          </val>
        </ser>
        <ser>
          <idx val="4"/>
          <order val="4"/>
          <tx>
            <strRef>
              <f>'Vues du jour par vidéo'!F1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vidéo'!$F$2:$F$8</f>
            </numRef>
          </val>
        </ser>
        <ser>
          <idx val="5"/>
          <order val="5"/>
          <tx>
            <strRef>
              <f>'Vues du jour par vidéo'!G1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vidéo'!$G$2:$G$8</f>
            </numRef>
          </val>
        </ser>
        <ser>
          <idx val="6"/>
          <order val="6"/>
          <tx>
            <strRef>
              <f>'Vues du jour par vidéo'!H1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vidéo'!$H$2:$H$8</f>
            </numRef>
          </val>
        </ser>
        <ser>
          <idx val="7"/>
          <order val="7"/>
          <tx>
            <strRef>
              <f>'Vues du jour par vidéo'!I1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vidéo'!$I$2:$I$8</f>
            </numRef>
          </val>
        </ser>
        <ser>
          <idx val="8"/>
          <order val="8"/>
          <tx>
            <strRef>
              <f>'Vues du jour par vidéo'!J1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vidéo'!$J$2:$J$8</f>
            </numRef>
          </val>
        </ser>
        <ser>
          <idx val="9"/>
          <order val="9"/>
          <tx>
            <strRef>
              <f>'Vues du jour par vidéo'!K1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vidéo'!$K$2:$K$8</f>
            </numRef>
          </val>
        </ser>
        <ser>
          <idx val="10"/>
          <order val="10"/>
          <tx>
            <strRef>
              <f>'Vues du jour par vidéo'!L1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vidéo'!$L$2:$L$8</f>
            </numRef>
          </val>
        </ser>
        <ser>
          <idx val="11"/>
          <order val="11"/>
          <tx>
            <strRef>
              <f>'Vues du jour par vidéo'!M1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vidéo'!$M$2:$M$8</f>
            </numRef>
          </val>
        </ser>
        <ser>
          <idx val="12"/>
          <order val="12"/>
          <tx>
            <strRef>
              <f>'Vues du jour par vidéo'!N1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vidéo'!$N$2:$N$8</f>
            </numRef>
          </val>
        </ser>
        <ser>
          <idx val="13"/>
          <order val="13"/>
          <tx>
            <strRef>
              <f>'Vues du jour par vidéo'!O1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vidéo'!$O$2:$O$8</f>
            </numRef>
          </val>
        </ser>
        <ser>
          <idx val="14"/>
          <order val="14"/>
          <tx>
            <strRef>
              <f>'Vues du jour par vidéo'!P1</f>
            </strRef>
          </tx>
          <spPr>
            <a:ln>
              <a:prstDash val="solid"/>
            </a:ln>
          </spPr>
          <cat>
            <numRef>
              <f>'Vues du jour par vidéo'!$A$2:$A$8</f>
            </numRef>
          </cat>
          <val>
            <numRef>
              <f>'Vues du jour par vidéo'!$P$2:$P$8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</f>
            </numRef>
          </cat>
          <val>
            <numRef>
              <f>'Heure par heure'!$C$2:$C$7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</f>
            </numRef>
          </cat>
          <val>
            <numRef>
              <f>'Heure par heure'!$D$2:$D$7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</f>
            </numRef>
          </cat>
          <val>
            <numRef>
              <f>'Heure par heure'!$E$2:$E$7</f>
            </numRef>
          </val>
        </ser>
        <ser>
          <idx val="3"/>
          <order val="3"/>
          <tx>
            <strRef>
              <f>'Heure par heure'!F1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</f>
            </numRef>
          </cat>
          <val>
            <numRef>
              <f>'Heure par heure'!$F$2:$F$7</f>
            </numRef>
          </val>
        </ser>
        <ser>
          <idx val="4"/>
          <order val="4"/>
          <tx>
            <strRef>
              <f>'Heure par heure'!G1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</f>
            </numRef>
          </cat>
          <val>
            <numRef>
              <f>'Heure par heure'!$G$2:$G$7</f>
            </numRef>
          </val>
        </ser>
        <ser>
          <idx val="5"/>
          <order val="5"/>
          <tx>
            <strRef>
              <f>'Heure par heure'!H1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</f>
            </numRef>
          </cat>
          <val>
            <numRef>
              <f>'Heure par heure'!$H$2:$H$7</f>
            </numRef>
          </val>
        </ser>
        <ser>
          <idx val="6"/>
          <order val="6"/>
          <tx>
            <strRef>
              <f>'Heure par heure'!I1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</f>
            </numRef>
          </cat>
          <val>
            <numRef>
              <f>'Heure par heure'!$I$2:$I$7</f>
            </numRef>
          </val>
        </ser>
        <ser>
          <idx val="7"/>
          <order val="7"/>
          <tx>
            <strRef>
              <f>'Heure par heure'!J1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</f>
            </numRef>
          </cat>
          <val>
            <numRef>
              <f>'Heure par heure'!$J$2:$J$7</f>
            </numRef>
          </val>
        </ser>
        <ser>
          <idx val="8"/>
          <order val="8"/>
          <tx>
            <strRef>
              <f>'Heure par heure'!K1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</f>
            </numRef>
          </cat>
          <val>
            <numRef>
              <f>'Heure par heure'!$K$2:$K$7</f>
            </numRef>
          </val>
        </ser>
        <ser>
          <idx val="9"/>
          <order val="9"/>
          <tx>
            <strRef>
              <f>'Heure par heure'!L1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heure'!$A$2:$A$7</f>
            </numRef>
          </cat>
          <val>
            <numRef>
              <f>'Heure par heure'!$L$2:$L$7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heure'!$A$2:$A$7</f>
            </numRef>
          </cat>
          <val>
            <numRef>
              <f>'Heure par heure'!$B$2:$B$7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heure'!M1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heure'!$A$2:$A$7</f>
            </numRef>
          </cat>
          <val>
            <numRef>
              <f>'Heure par heure'!$M$2:$M$7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heure'!$A$2:$A$7</f>
            </numRef>
          </cat>
          <val>
            <numRef>
              <f>'Vues gagnées par heure'!$B$2:$B$7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heure'!$A$2:$A$7</f>
            </numRef>
          </cat>
          <val>
            <numRef>
              <f>'Vues gagnées par heure'!$C$2:$C$7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heure'!$A$2:$A$7</f>
            </numRef>
          </cat>
          <val>
            <numRef>
              <f>'Vues gagnées par heure'!$D$2:$D$7</f>
            </numRef>
          </val>
        </ser>
        <ser>
          <idx val="3"/>
          <order val="3"/>
          <tx>
            <strRef>
              <f>'Vues gagnées par heure'!E1</f>
            </strRef>
          </tx>
          <spPr>
            <a:ln>
              <a:prstDash val="solid"/>
            </a:ln>
          </spPr>
          <cat>
            <numRef>
              <f>'Vues gagnées par heure'!$A$2:$A$7</f>
            </numRef>
          </cat>
          <val>
            <numRef>
              <f>'Vues gagnées par heure'!$E$2:$E$7</f>
            </numRef>
          </val>
        </ser>
        <ser>
          <idx val="4"/>
          <order val="4"/>
          <tx>
            <strRef>
              <f>'Vues gagnées par heure'!F1</f>
            </strRef>
          </tx>
          <spPr>
            <a:ln>
              <a:prstDash val="solid"/>
            </a:ln>
          </spPr>
          <cat>
            <numRef>
              <f>'Vues gagnées par heure'!$A$2:$A$7</f>
            </numRef>
          </cat>
          <val>
            <numRef>
              <f>'Vues gagnées par heure'!$F$2:$F$7</f>
            </numRef>
          </val>
        </ser>
        <ser>
          <idx val="5"/>
          <order val="5"/>
          <tx>
            <strRef>
              <f>'Vues gagnées par heure'!G1</f>
            </strRef>
          </tx>
          <spPr>
            <a:ln>
              <a:prstDash val="solid"/>
            </a:ln>
          </spPr>
          <cat>
            <numRef>
              <f>'Vues gagnées par heure'!$A$2:$A$7</f>
            </numRef>
          </cat>
          <val>
            <numRef>
              <f>'Vues gagnées par heure'!$G$2:$G$7</f>
            </numRef>
          </val>
        </ser>
        <ser>
          <idx val="6"/>
          <order val="6"/>
          <tx>
            <strRef>
              <f>'Vues gagnées par heure'!H1</f>
            </strRef>
          </tx>
          <spPr>
            <a:ln>
              <a:prstDash val="solid"/>
            </a:ln>
          </spPr>
          <cat>
            <numRef>
              <f>'Vues gagnées par heure'!$A$2:$A$7</f>
            </numRef>
          </cat>
          <val>
            <numRef>
              <f>'Vues gagnées par heure'!$H$2:$H$7</f>
            </numRef>
          </val>
        </ser>
        <ser>
          <idx val="7"/>
          <order val="7"/>
          <tx>
            <strRef>
              <f>'Vues gagnées par heure'!I1</f>
            </strRef>
          </tx>
          <spPr>
            <a:ln>
              <a:prstDash val="solid"/>
            </a:ln>
          </spPr>
          <cat>
            <numRef>
              <f>'Vues gagnées par heure'!$A$2:$A$7</f>
            </numRef>
          </cat>
          <val>
            <numRef>
              <f>'Vues gagnées par heure'!$I$2:$I$7</f>
            </numRef>
          </val>
        </ser>
        <ser>
          <idx val="8"/>
          <order val="8"/>
          <tx>
            <strRef>
              <f>'Vues gagnées par heure'!J1</f>
            </strRef>
          </tx>
          <spPr>
            <a:ln>
              <a:prstDash val="solid"/>
            </a:ln>
          </spPr>
          <cat>
            <numRef>
              <f>'Vues gagnées par heure'!$A$2:$A$7</f>
            </numRef>
          </cat>
          <val>
            <numRef>
              <f>'Vues gagnées par heure'!$J$2:$J$7</f>
            </numRef>
          </val>
        </ser>
        <ser>
          <idx val="9"/>
          <order val="9"/>
          <tx>
            <strRef>
              <f>'Vues gagnées par heure'!K1</f>
            </strRef>
          </tx>
          <spPr>
            <a:ln>
              <a:prstDash val="solid"/>
            </a:ln>
          </spPr>
          <cat>
            <numRef>
              <f>'Vues gagnées par heure'!$A$2:$A$7</f>
            </numRef>
          </cat>
          <val>
            <numRef>
              <f>'Vues gagnées par heure'!$K$2:$K$7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'Stories'!$A$2:$A$39</f>
            </numRef>
          </cat>
          <val>
            <numRef>
              <f>'Stories'!$B$2:$B$39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34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10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26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o1Sr6iZnW/" TargetMode="External" Id="rId1" /><Relationship Type="http://schemas.openxmlformats.org/officeDocument/2006/relationships/hyperlink" Target="https://www.instagram.com/reel/DephiMUiZlP/" TargetMode="External" Id="rId2" /><Relationship Type="http://schemas.openxmlformats.org/officeDocument/2006/relationships/hyperlink" Target="https://www.instagram.com/reel/DeqltD5CUh1/" TargetMode="External" Id="rId3" /><Relationship Type="http://schemas.openxmlformats.org/officeDocument/2006/relationships/hyperlink" Target="https://www.instagram.com/reel/DeqzZwwgNZA/" TargetMode="External" Id="rId4" /><Relationship Type="http://schemas.openxmlformats.org/officeDocument/2006/relationships/hyperlink" Target="https://www.instagram.com/reel/Deq5shWj03J/" TargetMode="External" Id="rId5" /><Relationship Type="http://schemas.openxmlformats.org/officeDocument/2006/relationships/hyperlink" Target="https://www.instagram.com/reel/DerN1lWgqYL/" TargetMode="External" Id="rId6" /><Relationship Type="http://schemas.openxmlformats.org/officeDocument/2006/relationships/hyperlink" Target="https://www.instagram.com/reel/Der2bYjllOT/" TargetMode="External" Id="rId7" /><Relationship Type="http://schemas.openxmlformats.org/officeDocument/2006/relationships/hyperlink" Target="https://www.instagram.com/reel/DetoG3RDRGR/" TargetMode="External" Id="rId8" /><Relationship Type="http://schemas.openxmlformats.org/officeDocument/2006/relationships/hyperlink" Target="https://www.instagram.com/reel/DeuORmrje2X/" TargetMode="External" Id="rId9" /><Relationship Type="http://schemas.openxmlformats.org/officeDocument/2006/relationships/hyperlink" Target="https://www.instagram.com/reel/Dev7vAwiHPF/" TargetMode="External" Id="rId10" /><Relationship Type="http://schemas.openxmlformats.org/officeDocument/2006/relationships/hyperlink" Target="https://www.instagram.com/reel/DewXqdggjen/" TargetMode="External" Id="rId11" /><Relationship Type="http://schemas.openxmlformats.org/officeDocument/2006/relationships/hyperlink" Target="https://www.instagram.com/reel/DewzPEDkwDC/" TargetMode="External" Id="rId12" /><Relationship Type="http://schemas.openxmlformats.org/officeDocument/2006/relationships/hyperlink" Target="https://www.instagram.com/reel/Dey8pqJjxZe/" TargetMode="External" Id="rId13" /><Relationship Type="http://schemas.openxmlformats.org/officeDocument/2006/relationships/hyperlink" Target="https://www.instagram.com/reel/De4IrjoAfMV/" TargetMode="External" Id="rId14" /><Relationship Type="http://schemas.openxmlformats.org/officeDocument/2006/relationships/hyperlink" Target="https://www.instagram.com/reel/De4SjlaiLAP/" TargetMode="External" Id="rId15" /><Relationship Type="http://schemas.openxmlformats.org/officeDocument/2006/relationships/drawing" Target="/xl/drawings/drawing2.xml" Id="rId16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actu/4010082643597439666" TargetMode="External" Id="rId1" /><Relationship Type="http://schemas.openxmlformats.org/officeDocument/2006/relationships/hyperlink" Target="https://www.instagram.com/stories/decodeactu/4010085165683465949" TargetMode="External" Id="rId2" /><Relationship Type="http://schemas.openxmlformats.org/officeDocument/2006/relationships/hyperlink" Target="https://www.instagram.com/stories/decodeactu/4010580444979118418" TargetMode="External" Id="rId3" /><Relationship Type="http://schemas.openxmlformats.org/officeDocument/2006/relationships/hyperlink" Target="https://www.instagram.com/stories/decodeactu/4010591233256788578" TargetMode="External" Id="rId4" /><Relationship Type="http://schemas.openxmlformats.org/officeDocument/2006/relationships/hyperlink" Target="https://www.instagram.com/stories/decodeactu/4010666015784838411" TargetMode="External" Id="rId5" /><Relationship Type="http://schemas.openxmlformats.org/officeDocument/2006/relationships/hyperlink" Target="https://www.instagram.com/stories/decodeactu/4010666140154335585" TargetMode="External" Id="rId6" /><Relationship Type="http://schemas.openxmlformats.org/officeDocument/2006/relationships/hyperlink" Target="https://www.instagram.com/stories/decodeactu/4010690394136360817" TargetMode="External" Id="rId7" /><Relationship Type="http://schemas.openxmlformats.org/officeDocument/2006/relationships/hyperlink" Target="https://www.instagram.com/stories/decodeactu/4010870598054531991" TargetMode="External" Id="rId8" /><Relationship Type="http://schemas.openxmlformats.org/officeDocument/2006/relationships/hyperlink" Target="https://www.instagram.com/stories/decodeactu/4010884840560370844" TargetMode="External" Id="rId9" /><Relationship Type="http://schemas.openxmlformats.org/officeDocument/2006/relationships/hyperlink" Target="https://www.instagram.com/stories/decodeactu/4011184619395494112" TargetMode="External" Id="rId10" /><Relationship Type="http://schemas.openxmlformats.org/officeDocument/2006/relationships/hyperlink" Target="https://www.instagram.com/stories/decodeactu/4011206044512788419" TargetMode="External" Id="rId11" /><Relationship Type="http://schemas.openxmlformats.org/officeDocument/2006/relationships/hyperlink" Target="https://www.instagram.com/stories/decodeactu/4011244883063248653" TargetMode="External" Id="rId12" /><Relationship Type="http://schemas.openxmlformats.org/officeDocument/2006/relationships/hyperlink" Target="https://www.instagram.com/stories/decodeactu/4011245014529499175" TargetMode="External" Id="rId13" /><Relationship Type="http://schemas.openxmlformats.org/officeDocument/2006/relationships/hyperlink" Target="https://www.instagram.com/stories/decodeactu/4011246901605914493" TargetMode="External" Id="rId14" /><Relationship Type="http://schemas.openxmlformats.org/officeDocument/2006/relationships/hyperlink" Target="https://www.instagram.com/stories/decodeactu/4011272620515678186" TargetMode="External" Id="rId15" /><Relationship Type="http://schemas.openxmlformats.org/officeDocument/2006/relationships/hyperlink" Target="https://www.instagram.com/stories/decodeactu/4011273942141182263" TargetMode="External" Id="rId16" /><Relationship Type="http://schemas.openxmlformats.org/officeDocument/2006/relationships/hyperlink" Target="https://www.instagram.com/stories/decodeactu/4011274495344325312" TargetMode="External" Id="rId17" /><Relationship Type="http://schemas.openxmlformats.org/officeDocument/2006/relationships/hyperlink" Target="https://www.instagram.com/stories/decodeactu/4011361379043453867" TargetMode="External" Id="rId18" /><Relationship Type="http://schemas.openxmlformats.org/officeDocument/2006/relationships/hyperlink" Target="https://www.instagram.com/stories/decodeactu/4011361490788153119" TargetMode="External" Id="rId19" /><Relationship Type="http://schemas.openxmlformats.org/officeDocument/2006/relationships/hyperlink" Target="https://www.instagram.com/stories/decodeactu/4011539666742908595" TargetMode="External" Id="rId20" /><Relationship Type="http://schemas.openxmlformats.org/officeDocument/2006/relationships/hyperlink" Target="https://www.instagram.com/stories/decodeactu/4011969966597933986" TargetMode="External" Id="rId21" /><Relationship Type="http://schemas.openxmlformats.org/officeDocument/2006/relationships/hyperlink" Target="https://www.instagram.com/stories/decodeactu/4012039801088150752" TargetMode="External" Id="rId22" /><Relationship Type="http://schemas.openxmlformats.org/officeDocument/2006/relationships/hyperlink" Target="https://www.instagram.com/stories/decodeactu/4012039943837071141" TargetMode="External" Id="rId23" /><Relationship Type="http://schemas.openxmlformats.org/officeDocument/2006/relationships/hyperlink" Target="https://www.instagram.com/stories/decodeactu/4012132574386942983" TargetMode="External" Id="rId24" /><Relationship Type="http://schemas.openxmlformats.org/officeDocument/2006/relationships/hyperlink" Target="https://www.instagram.com/stories/decodeactu/4012207678374431526" TargetMode="External" Id="rId25" /><Relationship Type="http://schemas.openxmlformats.org/officeDocument/2006/relationships/hyperlink" Target="https://www.instagram.com/stories/decodeactu/4012667101185949589" TargetMode="External" Id="rId26" /><Relationship Type="http://schemas.openxmlformats.org/officeDocument/2006/relationships/hyperlink" Target="https://www.instagram.com/stories/decodeactu/4012689022548033578" TargetMode="External" Id="rId27" /><Relationship Type="http://schemas.openxmlformats.org/officeDocument/2006/relationships/hyperlink" Target="https://www.instagram.com/stories/decodeactu/4012750071917523183" TargetMode="External" Id="rId28" /><Relationship Type="http://schemas.openxmlformats.org/officeDocument/2006/relationships/hyperlink" Target="https://www.instagram.com/stories/decodeactu/4012811853110464305" TargetMode="External" Id="rId29" /><Relationship Type="http://schemas.openxmlformats.org/officeDocument/2006/relationships/hyperlink" Target="https://www.instagram.com/stories/decodeactu/4012901221690811980" TargetMode="External" Id="rId30" /><Relationship Type="http://schemas.openxmlformats.org/officeDocument/2006/relationships/hyperlink" Target="https://www.instagram.com/stories/decodeactu/4012933171482325794" TargetMode="External" Id="rId31" /><Relationship Type="http://schemas.openxmlformats.org/officeDocument/2006/relationships/hyperlink" Target="https://www.instagram.com/stories/decodeactu/4013418547984573890" TargetMode="External" Id="rId32" /><Relationship Type="http://schemas.openxmlformats.org/officeDocument/2006/relationships/hyperlink" Target="https://www.instagram.com/stories/decodeactu/4013537525339613060" TargetMode="External" Id="rId33" /><Relationship Type="http://schemas.openxmlformats.org/officeDocument/2006/relationships/hyperlink" Target="https://www.instagram.com/stories/decodeactu/4014923972316205667" TargetMode="External" Id="rId34" /><Relationship Type="http://schemas.openxmlformats.org/officeDocument/2006/relationships/hyperlink" Target="https://www.instagram.com/stories/decodeactu/4014997794356743780" TargetMode="External" Id="rId35" /><Relationship Type="http://schemas.openxmlformats.org/officeDocument/2006/relationships/hyperlink" Target="https://www.instagram.com/stories/decodeactu/4015041228345607820" TargetMode="External" Id="rId36" /><Relationship Type="http://schemas.openxmlformats.org/officeDocument/2006/relationships/hyperlink" Target="https://www.instagram.com/stories/decodeactu/4015041354560585133" TargetMode="External" Id="rId37" /><Relationship Type="http://schemas.openxmlformats.org/officeDocument/2006/relationships/hyperlink" Target="https://www.instagram.com/stories/decodeactu/4015041982917596318" TargetMode="External" Id="rId38" /><Relationship Type="http://schemas.openxmlformats.org/officeDocument/2006/relationships/drawing" Target="/xl/drawings/drawing7.xml" Id="rId3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2026-10-18</t>
        </is>
      </c>
      <c r="B2" s="3" t="n">
        <v>4</v>
      </c>
      <c r="C2" s="3">
        <f>IF(ROW()=2,"",B2-B1)</f>
        <v/>
      </c>
      <c r="D2" s="3" t="n">
        <v>868</v>
      </c>
      <c r="E2" s="3">
        <f>IF(ROW()=2,D2,D2-D1)</f>
        <v/>
      </c>
      <c r="F2" s="3" t="n">
        <v>728</v>
      </c>
      <c r="G2" s="3" t="n">
        <v>880</v>
      </c>
      <c r="H2" s="3" t="n">
        <v>19</v>
      </c>
      <c r="I2" s="3" t="n">
        <v>11</v>
      </c>
      <c r="J2" s="3" t="n">
        <v>28</v>
      </c>
      <c r="K2" s="3" t="n">
        <v>0</v>
      </c>
      <c r="L2" s="3" t="n">
        <v>32</v>
      </c>
      <c r="M2" s="3" t="n">
        <v>4</v>
      </c>
    </row>
    <row r="3">
      <c r="A3" s="2" t="inlineStr">
        <is>
          <t>2026-10-19</t>
        </is>
      </c>
      <c r="B3" s="3" t="n">
        <v>4</v>
      </c>
      <c r="C3" s="3">
        <f>IF(ROW()=2,"",B3-B2)</f>
        <v/>
      </c>
      <c r="D3" s="3" t="n">
        <v>2318</v>
      </c>
      <c r="E3" s="3">
        <f>IF(ROW()=2,D3,D3-D2)</f>
        <v/>
      </c>
      <c r="F3" s="3" t="n">
        <v>1728</v>
      </c>
      <c r="G3" s="3" t="n">
        <v>2154</v>
      </c>
      <c r="H3" s="3" t="n">
        <v>17</v>
      </c>
      <c r="I3" s="3" t="n">
        <v>30</v>
      </c>
      <c r="J3" s="3" t="n">
        <v>48</v>
      </c>
      <c r="K3" s="3" t="n">
        <v>0</v>
      </c>
      <c r="L3" s="3" t="n">
        <v>14</v>
      </c>
      <c r="M3" s="3" t="n">
        <v>4</v>
      </c>
    </row>
    <row r="4">
      <c r="A4" s="2" t="inlineStr">
        <is>
          <t>2026-10-20</t>
        </is>
      </c>
      <c r="B4" s="3" t="n">
        <v>4</v>
      </c>
      <c r="C4" s="3">
        <f>IF(ROW()=2,"",B4-B3)</f>
        <v/>
      </c>
      <c r="D4" s="3" t="n">
        <v>2620</v>
      </c>
      <c r="E4" s="3">
        <f>IF(ROW()=2,D4,D4-D3)</f>
        <v/>
      </c>
      <c r="F4" s="3" t="n">
        <v>831</v>
      </c>
      <c r="G4" s="3" t="n">
        <v>1000</v>
      </c>
      <c r="H4" s="3" t="n">
        <v>6</v>
      </c>
      <c r="I4" s="3" t="n">
        <v>8</v>
      </c>
      <c r="J4" s="3" t="n">
        <v>16</v>
      </c>
      <c r="K4" s="3" t="n">
        <v>0</v>
      </c>
      <c r="L4" s="3" t="n">
        <v>4</v>
      </c>
      <c r="M4" s="3" t="n">
        <v>1</v>
      </c>
    </row>
    <row r="5">
      <c r="A5" s="2" t="inlineStr">
        <is>
          <t>2026-10-21</t>
        </is>
      </c>
      <c r="B5" s="3" t="n">
        <v>4</v>
      </c>
      <c r="C5" s="3">
        <f>IF(ROW()=2,"",B5-B4)</f>
        <v/>
      </c>
      <c r="D5" s="3" t="n">
        <v>2977</v>
      </c>
      <c r="E5" s="3">
        <f>IF(ROW()=2,D5,D5-D4)</f>
        <v/>
      </c>
      <c r="F5" s="3" t="n">
        <v>363</v>
      </c>
      <c r="G5" s="3" t="n">
        <v>453</v>
      </c>
      <c r="H5" s="3" t="n">
        <v>4</v>
      </c>
      <c r="I5" s="3" t="n">
        <v>4</v>
      </c>
      <c r="J5" s="3" t="n">
        <v>7</v>
      </c>
      <c r="K5" s="3" t="n">
        <v>0</v>
      </c>
      <c r="L5" s="3" t="n">
        <v>9</v>
      </c>
      <c r="M5" s="3" t="n">
        <v>2</v>
      </c>
    </row>
    <row r="6">
      <c r="A6" s="2" t="inlineStr">
        <is>
          <t>2026-10-22</t>
        </is>
      </c>
      <c r="B6" s="3" t="n">
        <v>4</v>
      </c>
      <c r="C6" s="3">
        <f>IF(ROW()=2,"",B6-B5)</f>
        <v/>
      </c>
      <c r="D6" s="3" t="n">
        <v>2728</v>
      </c>
      <c r="E6" s="3">
        <f>IF(ROW()=2,D6,D6-D5)</f>
        <v/>
      </c>
      <c r="F6" s="3" t="n">
        <v>343</v>
      </c>
      <c r="G6" s="3" t="n">
        <v>431</v>
      </c>
      <c r="H6" s="3" t="n">
        <v>2</v>
      </c>
      <c r="I6" s="3" t="n">
        <v>2</v>
      </c>
      <c r="J6" s="3" t="n">
        <v>4</v>
      </c>
      <c r="K6" s="3" t="n">
        <v>0</v>
      </c>
      <c r="L6" s="3" t="n">
        <v>3</v>
      </c>
      <c r="M6" s="3" t="n">
        <v>1</v>
      </c>
    </row>
    <row r="7">
      <c r="A7" s="2" t="inlineStr">
        <is>
          <t>2026-10-23</t>
        </is>
      </c>
      <c r="B7" s="3" t="n">
        <v>4</v>
      </c>
      <c r="C7" s="3">
        <f>IF(ROW()=2,"",B7-B6)</f>
        <v/>
      </c>
      <c r="D7" s="3" t="n">
        <v>2770</v>
      </c>
      <c r="E7" s="3">
        <f>IF(ROW()=2,D7,D7-D6)</f>
        <v/>
      </c>
      <c r="F7" s="3" t="n">
        <v>71</v>
      </c>
      <c r="G7" s="3" t="n">
        <v>81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  <row r="8">
      <c r="A8" s="2" t="inlineStr">
        <is>
          <t>2026-10-24</t>
        </is>
      </c>
      <c r="B8" s="3" t="n">
        <v>4</v>
      </c>
      <c r="C8" s="3">
        <f>IF(ROW()=2,"",B8-B7)</f>
        <v/>
      </c>
      <c r="D8" s="3" t="n">
        <v>2589</v>
      </c>
      <c r="E8" s="3">
        <f>IF(ROW()=2,D8,D8-D7)</f>
        <v/>
      </c>
      <c r="F8" s="3" t="n">
        <v>131</v>
      </c>
      <c r="G8" s="3" t="n">
        <v>149</v>
      </c>
      <c r="H8" s="3" t="n">
        <v>6</v>
      </c>
      <c r="I8" s="3" t="n">
        <v>1</v>
      </c>
      <c r="J8" s="3" t="n">
        <v>2</v>
      </c>
      <c r="K8" s="3" t="n">
        <v>0</v>
      </c>
      <c r="L8" s="3" t="n">
        <v>0</v>
      </c>
      <c r="M8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2026-10-18 13:52</t>
        </is>
      </c>
      <c r="B2" s="2" t="inlineStr">
        <is>
          <t>👑 Vendredi soir : Macron au concert de Céline</t>
        </is>
      </c>
      <c r="C2" s="4" t="inlineStr">
        <is>
          <t>ouvrir</t>
        </is>
      </c>
      <c r="D2" s="3" t="n">
        <v>1155</v>
      </c>
      <c r="E2" s="3" t="n">
        <v>1003</v>
      </c>
      <c r="F2" s="3" t="n">
        <v>17</v>
      </c>
      <c r="G2" s="3" t="n">
        <v>2</v>
      </c>
      <c r="H2" s="3" t="n">
        <v>0</v>
      </c>
      <c r="I2" s="3" t="n">
        <v>0</v>
      </c>
      <c r="J2" s="3" t="n">
        <v>20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2026-10-18 20:18</t>
        </is>
      </c>
      <c r="B3" s="2" t="inlineStr">
        <is>
          <t>😱 Ma réaction à ce qui t'attend le 1er novemb</t>
        </is>
      </c>
      <c r="C3" s="4" t="inlineStr">
        <is>
          <t>ouvrir</t>
        </is>
      </c>
      <c r="D3" s="3" t="n">
        <v>121</v>
      </c>
      <c r="E3" s="3" t="n">
        <v>109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2026-10-19 06:14</t>
        </is>
      </c>
      <c r="B4" s="2" t="inlineStr">
        <is>
          <t>🧮 Quiz : ta manif dégénère et tu restes après</t>
        </is>
      </c>
      <c r="C4" s="4" t="inlineStr">
        <is>
          <t>ouvrir</t>
        </is>
      </c>
      <c r="D4" s="3" t="n">
        <v>110</v>
      </c>
      <c r="E4" s="3" t="n">
        <v>104</v>
      </c>
      <c r="F4" s="3" t="n">
        <v>1</v>
      </c>
      <c r="G4" s="3" t="n">
        <v>0</v>
      </c>
      <c r="H4" s="3" t="n">
        <v>0</v>
      </c>
      <c r="I4" s="3" t="n">
        <v>0</v>
      </c>
      <c r="J4" s="3" t="n">
        <v>1</v>
      </c>
      <c r="K4" s="5">
        <f>IFERROR((F4+G4+H4+I4)/IF(E4&gt;0,E4,D4),0)</f>
        <v/>
      </c>
      <c r="L4" s="6">
        <f>IFERROR(D4/E4,0)</f>
        <v/>
      </c>
    </row>
    <row r="5">
      <c r="A5" s="2" t="inlineStr">
        <is>
          <t>2026-10-19 08:14</t>
        </is>
      </c>
      <c r="B5" s="2" t="inlineStr">
        <is>
          <t>Et soudain, 718 stations sans gazole. Ta stat</t>
        </is>
      </c>
      <c r="C5" s="4" t="inlineStr">
        <is>
          <t>ouvrir</t>
        </is>
      </c>
      <c r="D5" s="3" t="n">
        <v>86</v>
      </c>
      <c r="E5" s="3" t="n">
        <v>82</v>
      </c>
      <c r="F5" s="3" t="n">
        <v>1</v>
      </c>
      <c r="G5" s="3" t="n">
        <v>0</v>
      </c>
      <c r="H5" s="3" t="n">
        <v>0</v>
      </c>
      <c r="I5" s="3" t="n">
        <v>0</v>
      </c>
      <c r="J5" s="3" t="n">
        <v>1</v>
      </c>
      <c r="K5" s="5">
        <f>IFERROR((F5+G5+H5+I5)/IF(E5&gt;0,E5,D5),0)</f>
        <v/>
      </c>
      <c r="L5" s="6">
        <f>IFERROR(D5/E5,0)</f>
        <v/>
      </c>
    </row>
    <row r="6">
      <c r="A6" s="2" t="inlineStr">
        <is>
          <t>2026-10-19 09:09</t>
        </is>
      </c>
      <c r="B6" s="2" t="inlineStr">
        <is>
          <t>Les vitrines d'abord. Toi, après. Pour les co</t>
        </is>
      </c>
      <c r="C6" s="4" t="inlineStr">
        <is>
          <t>ouvrir</t>
        </is>
      </c>
      <c r="D6" s="3" t="n">
        <v>113</v>
      </c>
      <c r="E6" s="3" t="n">
        <v>100</v>
      </c>
      <c r="F6" s="3" t="n">
        <v>1</v>
      </c>
      <c r="G6" s="3" t="n">
        <v>0</v>
      </c>
      <c r="H6" s="3" t="n">
        <v>0</v>
      </c>
      <c r="I6" s="3" t="n">
        <v>0</v>
      </c>
      <c r="J6" s="3" t="n">
        <v>1</v>
      </c>
      <c r="K6" s="5">
        <f>IFERROR((F6+G6+H6+I6)/IF(E6&gt;0,E6,D6),0)</f>
        <v/>
      </c>
      <c r="L6" s="6">
        <f>IFERROR(D6/E6,0)</f>
        <v/>
      </c>
    </row>
    <row r="7">
      <c r="A7" s="2" t="inlineStr">
        <is>
          <t>2026-10-19 12:05</t>
        </is>
      </c>
      <c r="B7" s="2" t="inlineStr">
        <is>
          <t xml:space="preserve">📩 « Jeudi 5 novembre, la France s'arrête. -A </t>
        </is>
      </c>
      <c r="C7" s="4" t="inlineStr">
        <is>
          <t>ouvrir</t>
        </is>
      </c>
      <c r="D7" s="3" t="n">
        <v>111</v>
      </c>
      <c r="E7" s="3" t="n">
        <v>104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5">
        <f>IFERROR((F7+G7+H7+I7)/IF(E7&gt;0,E7,D7),0)</f>
        <v/>
      </c>
      <c r="L7" s="6">
        <f>IFERROR(D7/E7,0)</f>
        <v/>
      </c>
    </row>
    <row r="8">
      <c r="A8" s="2" t="inlineStr">
        <is>
          <t>2026-10-19 17:59</t>
        </is>
      </c>
      <c r="B8" s="2" t="inlineStr">
        <is>
          <t>📖 Il était une fois des agriculteurs en colèr</t>
        </is>
      </c>
      <c r="C8" s="4" t="inlineStr">
        <is>
          <t>ouvrir</t>
        </is>
      </c>
      <c r="D8" s="3" t="n">
        <v>79</v>
      </c>
      <c r="E8" s="3" t="n">
        <v>71</v>
      </c>
      <c r="F8" s="3" t="n">
        <v>1</v>
      </c>
      <c r="G8" s="3" t="n">
        <v>0</v>
      </c>
      <c r="H8" s="3" t="n">
        <v>0</v>
      </c>
      <c r="I8" s="3" t="n">
        <v>0</v>
      </c>
      <c r="J8" s="3" t="n">
        <v>1</v>
      </c>
      <c r="K8" s="5">
        <f>IFERROR((F8+G8+H8+I8)/IF(E8&gt;0,E8,D8),0)</f>
        <v/>
      </c>
      <c r="L8" s="6">
        <f>IFERROR(D8/E8,0)</f>
        <v/>
      </c>
    </row>
    <row r="9">
      <c r="A9" s="2" t="inlineStr">
        <is>
          <t>2026-10-20 10:33</t>
        </is>
      </c>
      <c r="B9" s="2" t="inlineStr">
        <is>
          <t>Couvre-feux, manifs « encadrées, voire interd</t>
        </is>
      </c>
      <c r="C9" s="4" t="inlineStr">
        <is>
          <t>ouvrir</t>
        </is>
      </c>
      <c r="D9" s="3" t="n">
        <v>158</v>
      </c>
      <c r="E9" s="3" t="n">
        <v>141</v>
      </c>
      <c r="F9" s="3" t="n">
        <v>2</v>
      </c>
      <c r="G9" s="3" t="n">
        <v>0</v>
      </c>
      <c r="H9" s="3" t="n">
        <v>0</v>
      </c>
      <c r="I9" s="3" t="n">
        <v>2</v>
      </c>
      <c r="J9" s="3" t="n">
        <v>5</v>
      </c>
      <c r="K9" s="5">
        <f>IFERROR((F9+G9+H9+I9)/IF(E9&gt;0,E9,D9),0)</f>
        <v/>
      </c>
      <c r="L9" s="6">
        <f>IFERROR(D9/E9,0)</f>
        <v/>
      </c>
    </row>
    <row r="10">
      <c r="A10" s="2" t="inlineStr">
        <is>
          <t>2026-10-20 16:07</t>
        </is>
      </c>
      <c r="B10" s="2" t="inlineStr">
        <is>
          <t>Couvre-feu pour les ados, 5,6 milliards envol</t>
        </is>
      </c>
      <c r="C10" s="4" t="inlineStr">
        <is>
          <t>ouvrir</t>
        </is>
      </c>
      <c r="D10" s="3" t="n">
        <v>108</v>
      </c>
      <c r="E10" s="3" t="n">
        <v>102</v>
      </c>
      <c r="F10" s="3" t="n">
        <v>0</v>
      </c>
      <c r="G10" s="3" t="n">
        <v>0</v>
      </c>
      <c r="H10" s="3" t="n">
        <v>0</v>
      </c>
      <c r="I10" s="3" t="n">
        <v>0</v>
      </c>
      <c r="J10" s="3" t="n">
        <v>0</v>
      </c>
      <c r="K10" s="5">
        <f>IFERROR((F10+G10+H10+I10)/IF(E10&gt;0,E10,D10),0)</f>
        <v/>
      </c>
      <c r="L10" s="6">
        <f>IFERROR(D10/E10,0)</f>
        <v/>
      </c>
    </row>
    <row r="11">
      <c r="A11" s="2" t="inlineStr">
        <is>
          <t>2026-10-21 08:03</t>
        </is>
      </c>
      <c r="B11" s="2" t="inlineStr">
        <is>
          <t>Les syndicats de salariés auraient-ils dû êtr</t>
        </is>
      </c>
      <c r="C11" s="4" t="inlineStr">
        <is>
          <t>ouvrir</t>
        </is>
      </c>
      <c r="D11" s="3" t="n">
        <v>105</v>
      </c>
      <c r="E11" s="3" t="n">
        <v>87</v>
      </c>
      <c r="F11" s="3" t="n">
        <v>1</v>
      </c>
      <c r="G11" s="3" t="n">
        <v>0</v>
      </c>
      <c r="H11" s="3" t="n">
        <v>0</v>
      </c>
      <c r="I11" s="3" t="n">
        <v>0</v>
      </c>
      <c r="J11" s="3" t="n">
        <v>1</v>
      </c>
      <c r="K11" s="5">
        <f>IFERROR((F11+G11+H11+I11)/IF(E11&gt;0,E11,D11),0)</f>
        <v/>
      </c>
      <c r="L11" s="6">
        <f>IFERROR(D11/E11,0)</f>
        <v/>
      </c>
    </row>
    <row r="12">
      <c r="A12" s="2" t="inlineStr">
        <is>
          <t>2026-10-21 12:07</t>
        </is>
      </c>
      <c r="B12" s="2" t="inlineStr">
        <is>
          <t>À toi de juger : taxer les profits du pétrole</t>
        </is>
      </c>
      <c r="C12" s="4" t="inlineStr">
        <is>
          <t>ouvrir</t>
        </is>
      </c>
      <c r="D12" s="3" t="n">
        <v>128</v>
      </c>
      <c r="E12" s="3" t="n">
        <v>106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1</v>
      </c>
      <c r="K12" s="5">
        <f>IFERROR((F12+G12+H12+I12)/IF(E12&gt;0,E12,D12),0)</f>
        <v/>
      </c>
      <c r="L12" s="6">
        <f>IFERROR(D12/E12,0)</f>
        <v/>
      </c>
    </row>
    <row r="13">
      <c r="A13" s="2" t="inlineStr">
        <is>
          <t>2026-10-21 16:08</t>
        </is>
      </c>
      <c r="B13" s="2" t="inlineStr">
        <is>
          <t>Gel des pensions : oui ou non ? Réponds en co</t>
        </is>
      </c>
      <c r="C13" s="4" t="inlineStr">
        <is>
          <t>ouvrir</t>
        </is>
      </c>
      <c r="D13" s="3" t="n">
        <v>114</v>
      </c>
      <c r="E13" s="3" t="n">
        <v>108</v>
      </c>
      <c r="F13" s="3" t="n">
        <v>0</v>
      </c>
      <c r="G13" s="3" t="n">
        <v>0</v>
      </c>
      <c r="H13" s="3" t="n">
        <v>0</v>
      </c>
      <c r="I13" s="3" t="n">
        <v>0</v>
      </c>
      <c r="J13" s="3" t="n">
        <v>0</v>
      </c>
      <c r="K13" s="5">
        <f>IFERROR((F13+G13+H13+I13)/IF(E13&gt;0,E13,D13),0)</f>
        <v/>
      </c>
      <c r="L13" s="6">
        <f>IFERROR(D13/E13,0)</f>
        <v/>
      </c>
    </row>
    <row r="14">
      <c r="A14" s="2" t="inlineStr">
        <is>
          <t>2026-10-22 12:09</t>
        </is>
      </c>
      <c r="B14" s="2" t="inlineStr">
        <is>
          <t>Couper les réseaux sociaux pendant les émeute</t>
        </is>
      </c>
      <c r="C14" s="4" t="inlineStr">
        <is>
          <t>ouvrir</t>
        </is>
      </c>
      <c r="D14" s="3" t="n">
        <v>76</v>
      </c>
      <c r="E14" s="3" t="n">
        <v>70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5">
        <f>IFERROR((F14+G14+H14+I14)/IF(E14&gt;0,E14,D14),0)</f>
        <v/>
      </c>
      <c r="L14" s="6">
        <f>IFERROR(D14/E14,0)</f>
        <v/>
      </c>
    </row>
    <row r="15">
      <c r="A15" s="2" t="inlineStr">
        <is>
          <t>2026-10-24 12:30</t>
        </is>
      </c>
      <c r="B15" s="2" t="inlineStr">
        <is>
          <t>À toi de juger : il faut une enquête indépend</t>
        </is>
      </c>
      <c r="C15" s="4" t="inlineStr">
        <is>
          <t>ouvrir</t>
        </is>
      </c>
      <c r="D15" s="3" t="n">
        <v>119</v>
      </c>
      <c r="E15" s="3" t="n">
        <v>103</v>
      </c>
      <c r="F15" s="3" t="n">
        <v>1</v>
      </c>
      <c r="G15" s="3" t="n">
        <v>0</v>
      </c>
      <c r="H15" s="3" t="n">
        <v>0</v>
      </c>
      <c r="I15" s="3" t="n">
        <v>0</v>
      </c>
      <c r="J15" s="3" t="n">
        <v>2</v>
      </c>
      <c r="K15" s="5">
        <f>IFERROR((F15+G15+H15+I15)/IF(E15&gt;0,E15,D15),0)</f>
        <v/>
      </c>
      <c r="L15" s="6">
        <f>IFERROR(D15/E15,0)</f>
        <v/>
      </c>
    </row>
    <row r="16">
      <c r="A16" s="2" t="inlineStr">
        <is>
          <t>2026-10-24 13:56</t>
        </is>
      </c>
      <c r="B16" s="2" t="inlineStr">
        <is>
          <t>« Oui, nous avons perdu le contrôle. » Le min</t>
        </is>
      </c>
      <c r="C16" s="4" t="inlineStr">
        <is>
          <t>ouvrir</t>
        </is>
      </c>
      <c r="D16" s="3" t="n">
        <v>6</v>
      </c>
      <c r="E16" s="3" t="n">
        <v>0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  <c r="K16" s="5">
        <f>IFERROR((F16+G16+H16+I16)/IF(E16&gt;0,E16,D16),0)</f>
        <v/>
      </c>
      <c r="L16" s="6">
        <f>IFERROR(D16/E16,0)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</hyperlinks>
  <pageMargins left="0.75" right="0.75" top="1" bottom="1" header="0.5" footer="0.5"/>
  <drawing xmlns:r="http://schemas.openxmlformats.org/officeDocument/2006/relationships" r:id="rId16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</cols>
  <sheetData>
    <row r="1" ht="32" customHeight="1">
      <c r="A1" s="1" t="inlineStr">
        <is>
          <t>Jour</t>
        </is>
      </c>
      <c r="B1" s="1" t="inlineStr">
        <is>
          <t xml:space="preserve">👑 Vendredi soir : Macron au </t>
        </is>
      </c>
      <c r="C1" s="1" t="inlineStr">
        <is>
          <t>😱 Ma réaction à ce qui t'att</t>
        </is>
      </c>
      <c r="D1" s="1" t="inlineStr">
        <is>
          <t>🧮 Quiz : ta manif dégénère e</t>
        </is>
      </c>
      <c r="E1" s="1" t="inlineStr">
        <is>
          <t>Et soudain, 718 stations san</t>
        </is>
      </c>
      <c r="F1" s="1" t="inlineStr">
        <is>
          <t>Les vitrines d'abord. Toi, a</t>
        </is>
      </c>
      <c r="G1" s="1" t="inlineStr">
        <is>
          <t>📩 « Jeudi 5 novembre, la Fra</t>
        </is>
      </c>
      <c r="H1" s="1" t="inlineStr">
        <is>
          <t>📖 Il était une fois des agri</t>
        </is>
      </c>
      <c r="I1" s="1" t="inlineStr">
        <is>
          <t>Couvre-feux, manifs « encadr</t>
        </is>
      </c>
      <c r="J1" s="1" t="inlineStr">
        <is>
          <t>Couvre-feu pour les ados, 5,</t>
        </is>
      </c>
      <c r="K1" s="1" t="inlineStr">
        <is>
          <t>Les syndicats de salariés au</t>
        </is>
      </c>
      <c r="L1" s="1" t="inlineStr">
        <is>
          <t>À toi de juger : taxer les p</t>
        </is>
      </c>
      <c r="M1" s="1" t="inlineStr">
        <is>
          <t>Gel des pensions : oui ou no</t>
        </is>
      </c>
      <c r="N1" s="1" t="inlineStr">
        <is>
          <t>Couper les réseaux sociaux p</t>
        </is>
      </c>
      <c r="O1" s="1" t="inlineStr">
        <is>
          <t>À toi de juger : il faut une</t>
        </is>
      </c>
      <c r="P1" s="1" t="inlineStr">
        <is>
          <t>« Oui, nous avons perdu le c</t>
        </is>
      </c>
    </row>
    <row r="2">
      <c r="A2" s="2" t="inlineStr">
        <is>
          <t>2026-10-18</t>
        </is>
      </c>
      <c r="B2" s="3" t="n">
        <v>174</v>
      </c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</row>
    <row r="3">
      <c r="A3" s="2" t="inlineStr">
        <is>
          <t>2026-10-19</t>
        </is>
      </c>
      <c r="B3" s="3" t="n">
        <v>1125</v>
      </c>
      <c r="C3" s="3" t="n">
        <v>120</v>
      </c>
      <c r="D3" s="3" t="n">
        <v>105</v>
      </c>
      <c r="E3" s="3" t="n">
        <v>63</v>
      </c>
      <c r="F3" s="3" t="n">
        <v>113</v>
      </c>
      <c r="G3" s="3" t="n">
        <v>7</v>
      </c>
      <c r="H3" s="3" t="n"/>
      <c r="I3" s="3" t="n"/>
      <c r="J3" s="3" t="n"/>
      <c r="K3" s="3" t="n"/>
      <c r="L3" s="3" t="n"/>
      <c r="M3" s="3" t="n"/>
      <c r="N3" s="3" t="n"/>
      <c r="O3" s="3" t="n"/>
      <c r="P3" s="3" t="n"/>
    </row>
    <row r="4">
      <c r="A4" s="2" t="inlineStr">
        <is>
          <t>2026-10-20</t>
        </is>
      </c>
      <c r="B4" s="3" t="n">
        <v>1155</v>
      </c>
      <c r="C4" s="3" t="n">
        <v>120</v>
      </c>
      <c r="D4" s="3" t="n">
        <v>110</v>
      </c>
      <c r="E4" s="3" t="n">
        <v>86</v>
      </c>
      <c r="F4" s="3" t="n">
        <v>113</v>
      </c>
      <c r="G4" s="3" t="n">
        <v>111</v>
      </c>
      <c r="H4" s="3" t="n">
        <v>73</v>
      </c>
      <c r="I4" s="3" t="n">
        <v>63</v>
      </c>
      <c r="J4" s="3" t="n"/>
      <c r="K4" s="3" t="n"/>
      <c r="L4" s="3" t="n"/>
      <c r="M4" s="3" t="n"/>
      <c r="N4" s="3" t="n"/>
      <c r="O4" s="3" t="n"/>
      <c r="P4" s="3" t="n"/>
    </row>
    <row r="5">
      <c r="A5" s="2" t="inlineStr">
        <is>
          <t>2026-10-21</t>
        </is>
      </c>
      <c r="B5" s="3" t="n">
        <v>1155</v>
      </c>
      <c r="C5" s="3" t="n">
        <v>120</v>
      </c>
      <c r="D5" s="3" t="n">
        <v>110</v>
      </c>
      <c r="E5" s="3" t="n">
        <v>86</v>
      </c>
      <c r="F5" s="3" t="n">
        <v>113</v>
      </c>
      <c r="G5" s="3" t="n">
        <v>111</v>
      </c>
      <c r="H5" s="3" t="n">
        <v>79</v>
      </c>
      <c r="I5" s="3" t="n">
        <v>157</v>
      </c>
      <c r="J5" s="3" t="n">
        <v>105</v>
      </c>
      <c r="K5" s="3" t="n">
        <v>80</v>
      </c>
      <c r="L5" s="3" t="n">
        <v>69</v>
      </c>
      <c r="M5" s="3" t="n"/>
      <c r="N5" s="3" t="n"/>
      <c r="O5" s="3" t="n"/>
      <c r="P5" s="3" t="n"/>
    </row>
    <row r="6">
      <c r="A6" s="2" t="inlineStr">
        <is>
          <t>2026-10-22</t>
        </is>
      </c>
      <c r="B6" s="3" t="n">
        <v>1155</v>
      </c>
      <c r="C6" s="3" t="n">
        <v>121</v>
      </c>
      <c r="D6" s="3" t="n">
        <v>110</v>
      </c>
      <c r="E6" s="3" t="n">
        <v>86</v>
      </c>
      <c r="F6" s="3" t="n">
        <v>113</v>
      </c>
      <c r="G6" s="3" t="n">
        <v>111</v>
      </c>
      <c r="H6" s="3" t="n">
        <v>79</v>
      </c>
      <c r="I6" s="3" t="n">
        <v>158</v>
      </c>
      <c r="J6" s="3" t="n">
        <v>106</v>
      </c>
      <c r="K6" s="3" t="n">
        <v>105</v>
      </c>
      <c r="L6" s="3" t="n">
        <v>128</v>
      </c>
      <c r="M6" s="3" t="n">
        <v>113</v>
      </c>
      <c r="N6" s="3" t="n">
        <v>32</v>
      </c>
      <c r="O6" s="3" t="n"/>
      <c r="P6" s="3" t="n"/>
    </row>
    <row r="7">
      <c r="A7" s="2" t="inlineStr">
        <is>
          <t>2026-10-23</t>
        </is>
      </c>
      <c r="B7" s="3" t="n">
        <v>1155</v>
      </c>
      <c r="C7" s="3" t="n">
        <v>121</v>
      </c>
      <c r="D7" s="3" t="n">
        <v>110</v>
      </c>
      <c r="E7" s="3" t="n">
        <v>86</v>
      </c>
      <c r="F7" s="3" t="n">
        <v>113</v>
      </c>
      <c r="G7" s="3" t="n">
        <v>111</v>
      </c>
      <c r="H7" s="3" t="n">
        <v>79</v>
      </c>
      <c r="I7" s="3" t="n">
        <v>158</v>
      </c>
      <c r="J7" s="3" t="n">
        <v>106</v>
      </c>
      <c r="K7" s="3" t="n">
        <v>105</v>
      </c>
      <c r="L7" s="3" t="n">
        <v>128</v>
      </c>
      <c r="M7" s="3" t="n">
        <v>113</v>
      </c>
      <c r="N7" s="3" t="n">
        <v>74</v>
      </c>
      <c r="O7" s="3" t="n"/>
      <c r="P7" s="3" t="n"/>
    </row>
    <row r="8">
      <c r="A8" s="2" t="inlineStr">
        <is>
          <t>2026-10-24</t>
        </is>
      </c>
      <c r="B8" s="3" t="n">
        <v>1155</v>
      </c>
      <c r="C8" s="3" t="n">
        <v>121</v>
      </c>
      <c r="D8" s="3" t="n">
        <v>110</v>
      </c>
      <c r="E8" s="3" t="n">
        <v>86</v>
      </c>
      <c r="F8" s="3" t="n">
        <v>113</v>
      </c>
      <c r="G8" s="3" t="n">
        <v>111</v>
      </c>
      <c r="H8" s="3" t="n">
        <v>79</v>
      </c>
      <c r="I8" s="3" t="n">
        <v>158</v>
      </c>
      <c r="J8" s="3" t="n">
        <v>108</v>
      </c>
      <c r="K8" s="3" t="n">
        <v>105</v>
      </c>
      <c r="L8" s="3" t="n">
        <v>128</v>
      </c>
      <c r="M8" s="3" t="n">
        <v>114</v>
      </c>
      <c r="N8" s="3" t="n">
        <v>76</v>
      </c>
      <c r="O8" s="3" t="n">
        <v>119</v>
      </c>
      <c r="P8" s="3" t="n">
        <v>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2" customWidth="1" min="17" max="17"/>
  </cols>
  <sheetData>
    <row r="1" ht="32" customHeight="1">
      <c r="A1" s="1" t="inlineStr">
        <is>
          <t>Jour</t>
        </is>
      </c>
      <c r="B1" s="1" t="inlineStr">
        <is>
          <t xml:space="preserve">👑 Vendredi soir : Macron au </t>
        </is>
      </c>
      <c r="C1" s="1" t="inlineStr">
        <is>
          <t>😱 Ma réaction à ce qui t'att</t>
        </is>
      </c>
      <c r="D1" s="1" t="inlineStr">
        <is>
          <t>🧮 Quiz : ta manif dégénère e</t>
        </is>
      </c>
      <c r="E1" s="1" t="inlineStr">
        <is>
          <t>Et soudain, 718 stations san</t>
        </is>
      </c>
      <c r="F1" s="1" t="inlineStr">
        <is>
          <t>Les vitrines d'abord. Toi, a</t>
        </is>
      </c>
      <c r="G1" s="1" t="inlineStr">
        <is>
          <t>📩 « Jeudi 5 novembre, la Fra</t>
        </is>
      </c>
      <c r="H1" s="1" t="inlineStr">
        <is>
          <t>📖 Il était une fois des agri</t>
        </is>
      </c>
      <c r="I1" s="1" t="inlineStr">
        <is>
          <t>Couvre-feux, manifs « encadr</t>
        </is>
      </c>
      <c r="J1" s="1" t="inlineStr">
        <is>
          <t>Couvre-feu pour les ados, 5,</t>
        </is>
      </c>
      <c r="K1" s="1" t="inlineStr">
        <is>
          <t>Les syndicats de salariés au</t>
        </is>
      </c>
      <c r="L1" s="1" t="inlineStr">
        <is>
          <t>À toi de juger : taxer les p</t>
        </is>
      </c>
      <c r="M1" s="1" t="inlineStr">
        <is>
          <t>Gel des pensions : oui ou no</t>
        </is>
      </c>
      <c r="N1" s="1" t="inlineStr">
        <is>
          <t>Couper les réseaux sociaux p</t>
        </is>
      </c>
      <c r="O1" s="1" t="inlineStr">
        <is>
          <t>À toi de juger : il faut une</t>
        </is>
      </c>
      <c r="P1" s="1" t="inlineStr">
        <is>
          <t>« Oui, nous avons perdu le c</t>
        </is>
      </c>
      <c r="Q1" s="1" t="inlineStr">
        <is>
          <t>Total du jour</t>
        </is>
      </c>
    </row>
    <row r="2">
      <c r="A2" s="2" t="inlineStr">
        <is>
          <t>2026-10-18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IF('Évolution par vidéo'!E2="","",'Évolution par vidéo'!E2)</f>
        <v/>
      </c>
      <c r="F2" s="3">
        <f>IF('Évolution par vidéo'!F2="","",'Évolution par vidéo'!F2)</f>
        <v/>
      </c>
      <c r="G2" s="3">
        <f>IF('Évolution par vidéo'!G2="","",'Évolution par vidéo'!G2)</f>
        <v/>
      </c>
      <c r="H2" s="3">
        <f>IF('Évolution par vidéo'!H2="","",'Évolution par vidéo'!H2)</f>
        <v/>
      </c>
      <c r="I2" s="3">
        <f>IF('Évolution par vidéo'!I2="","",'Évolution par vidéo'!I2)</f>
        <v/>
      </c>
      <c r="J2" s="3">
        <f>IF('Évolution par vidéo'!J2="","",'Évolution par vidéo'!J2)</f>
        <v/>
      </c>
      <c r="K2" s="3">
        <f>IF('Évolution par vidéo'!K2="","",'Évolution par vidéo'!K2)</f>
        <v/>
      </c>
      <c r="L2" s="3">
        <f>IF('Évolution par vidéo'!L2="","",'Évolution par vidéo'!L2)</f>
        <v/>
      </c>
      <c r="M2" s="3">
        <f>IF('Évolution par vidéo'!M2="","",'Évolution par vidéo'!M2)</f>
        <v/>
      </c>
      <c r="N2" s="3">
        <f>IF('Évolution par vidéo'!N2="","",'Évolution par vidéo'!N2)</f>
        <v/>
      </c>
      <c r="O2" s="3">
        <f>IF('Évolution par vidéo'!O2="","",'Évolution par vidéo'!O2)</f>
        <v/>
      </c>
      <c r="P2" s="3">
        <f>IF('Évolution par vidéo'!P2="","",'Évolution par vidéo'!P2)</f>
        <v/>
      </c>
      <c r="Q2" s="3">
        <f>SUM(B2:P2)</f>
        <v/>
      </c>
    </row>
    <row r="3">
      <c r="A3" s="2" t="inlineStr">
        <is>
          <t>2026-10-19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IF('Évolution par vidéo'!E3="","",'Évolution par vidéo'!E3-N('Évolution par vidéo'!E2))</f>
        <v/>
      </c>
      <c r="F3" s="3">
        <f>IF('Évolution par vidéo'!F3="","",'Évolution par vidéo'!F3-N('Évolution par vidéo'!F2))</f>
        <v/>
      </c>
      <c r="G3" s="3">
        <f>IF('Évolution par vidéo'!G3="","",'Évolution par vidéo'!G3-N('Évolution par vidéo'!G2))</f>
        <v/>
      </c>
      <c r="H3" s="3">
        <f>IF('Évolution par vidéo'!H3="","",'Évolution par vidéo'!H3-N('Évolution par vidéo'!H2))</f>
        <v/>
      </c>
      <c r="I3" s="3">
        <f>IF('Évolution par vidéo'!I3="","",'Évolution par vidéo'!I3-N('Évolution par vidéo'!I2))</f>
        <v/>
      </c>
      <c r="J3" s="3">
        <f>IF('Évolution par vidéo'!J3="","",'Évolution par vidéo'!J3-N('Évolution par vidéo'!J2))</f>
        <v/>
      </c>
      <c r="K3" s="3">
        <f>IF('Évolution par vidéo'!K3="","",'Évolution par vidéo'!K3-N('Évolution par vidéo'!K2))</f>
        <v/>
      </c>
      <c r="L3" s="3">
        <f>IF('Évolution par vidéo'!L3="","",'Évolution par vidéo'!L3-N('Évolution par vidéo'!L2))</f>
        <v/>
      </c>
      <c r="M3" s="3">
        <f>IF('Évolution par vidéo'!M3="","",'Évolution par vidéo'!M3-N('Évolution par vidéo'!M2))</f>
        <v/>
      </c>
      <c r="N3" s="3">
        <f>IF('Évolution par vidéo'!N3="","",'Évolution par vidéo'!N3-N('Évolution par vidéo'!N2))</f>
        <v/>
      </c>
      <c r="O3" s="3">
        <f>IF('Évolution par vidéo'!O3="","",'Évolution par vidéo'!O3-N('Évolution par vidéo'!O2))</f>
        <v/>
      </c>
      <c r="P3" s="3">
        <f>IF('Évolution par vidéo'!P3="","",'Évolution par vidéo'!P3-N('Évolution par vidéo'!P2))</f>
        <v/>
      </c>
      <c r="Q3" s="3">
        <f>SUM(B3:P3)</f>
        <v/>
      </c>
    </row>
    <row r="4">
      <c r="A4" s="2" t="inlineStr">
        <is>
          <t>2026-10-20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IF('Évolution par vidéo'!E4="","",'Évolution par vidéo'!E4-N('Évolution par vidéo'!E3))</f>
        <v/>
      </c>
      <c r="F4" s="3">
        <f>IF('Évolution par vidéo'!F4="","",'Évolution par vidéo'!F4-N('Évolution par vidéo'!F3))</f>
        <v/>
      </c>
      <c r="G4" s="3">
        <f>IF('Évolution par vidéo'!G4="","",'Évolution par vidéo'!G4-N('Évolution par vidéo'!G3))</f>
        <v/>
      </c>
      <c r="H4" s="3">
        <f>IF('Évolution par vidéo'!H4="","",'Évolution par vidéo'!H4-N('Évolution par vidéo'!H3))</f>
        <v/>
      </c>
      <c r="I4" s="3">
        <f>IF('Évolution par vidéo'!I4="","",'Évolution par vidéo'!I4-N('Évolution par vidéo'!I3))</f>
        <v/>
      </c>
      <c r="J4" s="3">
        <f>IF('Évolution par vidéo'!J4="","",'Évolution par vidéo'!J4-N('Évolution par vidéo'!J3))</f>
        <v/>
      </c>
      <c r="K4" s="3">
        <f>IF('Évolution par vidéo'!K4="","",'Évolution par vidéo'!K4-N('Évolution par vidéo'!K3))</f>
        <v/>
      </c>
      <c r="L4" s="3">
        <f>IF('Évolution par vidéo'!L4="","",'Évolution par vidéo'!L4-N('Évolution par vidéo'!L3))</f>
        <v/>
      </c>
      <c r="M4" s="3">
        <f>IF('Évolution par vidéo'!M4="","",'Évolution par vidéo'!M4-N('Évolution par vidéo'!M3))</f>
        <v/>
      </c>
      <c r="N4" s="3">
        <f>IF('Évolution par vidéo'!N4="","",'Évolution par vidéo'!N4-N('Évolution par vidéo'!N3))</f>
        <v/>
      </c>
      <c r="O4" s="3">
        <f>IF('Évolution par vidéo'!O4="","",'Évolution par vidéo'!O4-N('Évolution par vidéo'!O3))</f>
        <v/>
      </c>
      <c r="P4" s="3">
        <f>IF('Évolution par vidéo'!P4="","",'Évolution par vidéo'!P4-N('Évolution par vidéo'!P3))</f>
        <v/>
      </c>
      <c r="Q4" s="3">
        <f>SUM(B4:P4)</f>
        <v/>
      </c>
    </row>
    <row r="5">
      <c r="A5" s="2" t="inlineStr">
        <is>
          <t>2026-10-21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IF('Évolution par vidéo'!D5="","",'Évolution par vidéo'!D5-N('Évolution par vidéo'!D4))</f>
        <v/>
      </c>
      <c r="E5" s="3">
        <f>IF('Évolution par vidéo'!E5="","",'Évolution par vidéo'!E5-N('Évolution par vidéo'!E4))</f>
        <v/>
      </c>
      <c r="F5" s="3">
        <f>IF('Évolution par vidéo'!F5="","",'Évolution par vidéo'!F5-N('Évolution par vidéo'!F4))</f>
        <v/>
      </c>
      <c r="G5" s="3">
        <f>IF('Évolution par vidéo'!G5="","",'Évolution par vidéo'!G5-N('Évolution par vidéo'!G4))</f>
        <v/>
      </c>
      <c r="H5" s="3">
        <f>IF('Évolution par vidéo'!H5="","",'Évolution par vidéo'!H5-N('Évolution par vidéo'!H4))</f>
        <v/>
      </c>
      <c r="I5" s="3">
        <f>IF('Évolution par vidéo'!I5="","",'Évolution par vidéo'!I5-N('Évolution par vidéo'!I4))</f>
        <v/>
      </c>
      <c r="J5" s="3">
        <f>IF('Évolution par vidéo'!J5="","",'Évolution par vidéo'!J5-N('Évolution par vidéo'!J4))</f>
        <v/>
      </c>
      <c r="K5" s="3">
        <f>IF('Évolution par vidéo'!K5="","",'Évolution par vidéo'!K5-N('Évolution par vidéo'!K4))</f>
        <v/>
      </c>
      <c r="L5" s="3">
        <f>IF('Évolution par vidéo'!L5="","",'Évolution par vidéo'!L5-N('Évolution par vidéo'!L4))</f>
        <v/>
      </c>
      <c r="M5" s="3">
        <f>IF('Évolution par vidéo'!M5="","",'Évolution par vidéo'!M5-N('Évolution par vidéo'!M4))</f>
        <v/>
      </c>
      <c r="N5" s="3">
        <f>IF('Évolution par vidéo'!N5="","",'Évolution par vidéo'!N5-N('Évolution par vidéo'!N4))</f>
        <v/>
      </c>
      <c r="O5" s="3">
        <f>IF('Évolution par vidéo'!O5="","",'Évolution par vidéo'!O5-N('Évolution par vidéo'!O4))</f>
        <v/>
      </c>
      <c r="P5" s="3">
        <f>IF('Évolution par vidéo'!P5="","",'Évolution par vidéo'!P5-N('Évolution par vidéo'!P4))</f>
        <v/>
      </c>
      <c r="Q5" s="3">
        <f>SUM(B5:P5)</f>
        <v/>
      </c>
    </row>
    <row r="6">
      <c r="A6" s="2" t="inlineStr">
        <is>
          <t>2026-10-22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IF('Évolution par vidéo'!D6="","",'Évolution par vidéo'!D6-N('Évolution par vidéo'!D5))</f>
        <v/>
      </c>
      <c r="E6" s="3">
        <f>IF('Évolution par vidéo'!E6="","",'Évolution par vidéo'!E6-N('Évolution par vidéo'!E5))</f>
        <v/>
      </c>
      <c r="F6" s="3">
        <f>IF('Évolution par vidéo'!F6="","",'Évolution par vidéo'!F6-N('Évolution par vidéo'!F5))</f>
        <v/>
      </c>
      <c r="G6" s="3">
        <f>IF('Évolution par vidéo'!G6="","",'Évolution par vidéo'!G6-N('Évolution par vidéo'!G5))</f>
        <v/>
      </c>
      <c r="H6" s="3">
        <f>IF('Évolution par vidéo'!H6="","",'Évolution par vidéo'!H6-N('Évolution par vidéo'!H5))</f>
        <v/>
      </c>
      <c r="I6" s="3">
        <f>IF('Évolution par vidéo'!I6="","",'Évolution par vidéo'!I6-N('Évolution par vidéo'!I5))</f>
        <v/>
      </c>
      <c r="J6" s="3">
        <f>IF('Évolution par vidéo'!J6="","",'Évolution par vidéo'!J6-N('Évolution par vidéo'!J5))</f>
        <v/>
      </c>
      <c r="K6" s="3">
        <f>IF('Évolution par vidéo'!K6="","",'Évolution par vidéo'!K6-N('Évolution par vidéo'!K5))</f>
        <v/>
      </c>
      <c r="L6" s="3">
        <f>IF('Évolution par vidéo'!L6="","",'Évolution par vidéo'!L6-N('Évolution par vidéo'!L5))</f>
        <v/>
      </c>
      <c r="M6" s="3">
        <f>IF('Évolution par vidéo'!M6="","",'Évolution par vidéo'!M6-N('Évolution par vidéo'!M5))</f>
        <v/>
      </c>
      <c r="N6" s="3">
        <f>IF('Évolution par vidéo'!N6="","",'Évolution par vidéo'!N6-N('Évolution par vidéo'!N5))</f>
        <v/>
      </c>
      <c r="O6" s="3">
        <f>IF('Évolution par vidéo'!O6="","",'Évolution par vidéo'!O6-N('Évolution par vidéo'!O5))</f>
        <v/>
      </c>
      <c r="P6" s="3">
        <f>IF('Évolution par vidéo'!P6="","",'Évolution par vidéo'!P6-N('Évolution par vidéo'!P5))</f>
        <v/>
      </c>
      <c r="Q6" s="3">
        <f>SUM(B6:P6)</f>
        <v/>
      </c>
    </row>
    <row r="7">
      <c r="A7" s="2" t="inlineStr">
        <is>
          <t>2026-10-23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IF('Évolution par vidéo'!D7="","",'Évolution par vidéo'!D7-N('Évolution par vidéo'!D6))</f>
        <v/>
      </c>
      <c r="E7" s="3">
        <f>IF('Évolution par vidéo'!E7="","",'Évolution par vidéo'!E7-N('Évolution par vidéo'!E6))</f>
        <v/>
      </c>
      <c r="F7" s="3">
        <f>IF('Évolution par vidéo'!F7="","",'Évolution par vidéo'!F7-N('Évolution par vidéo'!F6))</f>
        <v/>
      </c>
      <c r="G7" s="3">
        <f>IF('Évolution par vidéo'!G7="","",'Évolution par vidéo'!G7-N('Évolution par vidéo'!G6))</f>
        <v/>
      </c>
      <c r="H7" s="3">
        <f>IF('Évolution par vidéo'!H7="","",'Évolution par vidéo'!H7-N('Évolution par vidéo'!H6))</f>
        <v/>
      </c>
      <c r="I7" s="3">
        <f>IF('Évolution par vidéo'!I7="","",'Évolution par vidéo'!I7-N('Évolution par vidéo'!I6))</f>
        <v/>
      </c>
      <c r="J7" s="3">
        <f>IF('Évolution par vidéo'!J7="","",'Évolution par vidéo'!J7-N('Évolution par vidéo'!J6))</f>
        <v/>
      </c>
      <c r="K7" s="3">
        <f>IF('Évolution par vidéo'!K7="","",'Évolution par vidéo'!K7-N('Évolution par vidéo'!K6))</f>
        <v/>
      </c>
      <c r="L7" s="3">
        <f>IF('Évolution par vidéo'!L7="","",'Évolution par vidéo'!L7-N('Évolution par vidéo'!L6))</f>
        <v/>
      </c>
      <c r="M7" s="3">
        <f>IF('Évolution par vidéo'!M7="","",'Évolution par vidéo'!M7-N('Évolution par vidéo'!M6))</f>
        <v/>
      </c>
      <c r="N7" s="3">
        <f>IF('Évolution par vidéo'!N7="","",'Évolution par vidéo'!N7-N('Évolution par vidéo'!N6))</f>
        <v/>
      </c>
      <c r="O7" s="3">
        <f>IF('Évolution par vidéo'!O7="","",'Évolution par vidéo'!O7-N('Évolution par vidéo'!O6))</f>
        <v/>
      </c>
      <c r="P7" s="3">
        <f>IF('Évolution par vidéo'!P7="","",'Évolution par vidéo'!P7-N('Évolution par vidéo'!P6))</f>
        <v/>
      </c>
      <c r="Q7" s="3">
        <f>SUM(B7:P7)</f>
        <v/>
      </c>
    </row>
    <row r="8">
      <c r="A8" s="2" t="inlineStr">
        <is>
          <t>2026-10-24</t>
        </is>
      </c>
      <c r="B8" s="3">
        <f>IF('Évolution par vidéo'!B8="","",'Évolution par vidéo'!B8-N('Évolution par vidéo'!B7))</f>
        <v/>
      </c>
      <c r="C8" s="3">
        <f>IF('Évolution par vidéo'!C8="","",'Évolution par vidéo'!C8-N('Évolution par vidéo'!C7))</f>
        <v/>
      </c>
      <c r="D8" s="3">
        <f>IF('Évolution par vidéo'!D8="","",'Évolution par vidéo'!D8-N('Évolution par vidéo'!D7))</f>
        <v/>
      </c>
      <c r="E8" s="3">
        <f>IF('Évolution par vidéo'!E8="","",'Évolution par vidéo'!E8-N('Évolution par vidéo'!E7))</f>
        <v/>
      </c>
      <c r="F8" s="3">
        <f>IF('Évolution par vidéo'!F8="","",'Évolution par vidéo'!F8-N('Évolution par vidéo'!F7))</f>
        <v/>
      </c>
      <c r="G8" s="3">
        <f>IF('Évolution par vidéo'!G8="","",'Évolution par vidéo'!G8-N('Évolution par vidéo'!G7))</f>
        <v/>
      </c>
      <c r="H8" s="3">
        <f>IF('Évolution par vidéo'!H8="","",'Évolution par vidéo'!H8-N('Évolution par vidéo'!H7))</f>
        <v/>
      </c>
      <c r="I8" s="3">
        <f>IF('Évolution par vidéo'!I8="","",'Évolution par vidéo'!I8-N('Évolution par vidéo'!I7))</f>
        <v/>
      </c>
      <c r="J8" s="3">
        <f>IF('Évolution par vidéo'!J8="","",'Évolution par vidéo'!J8-N('Évolution par vidéo'!J7))</f>
        <v/>
      </c>
      <c r="K8" s="3">
        <f>IF('Évolution par vidéo'!K8="","",'Évolution par vidéo'!K8-N('Évolution par vidéo'!K7))</f>
        <v/>
      </c>
      <c r="L8" s="3">
        <f>IF('Évolution par vidéo'!L8="","",'Évolution par vidéo'!L8-N('Évolution par vidéo'!L7))</f>
        <v/>
      </c>
      <c r="M8" s="3">
        <f>IF('Évolution par vidéo'!M8="","",'Évolution par vidéo'!M8-N('Évolution par vidéo'!M7))</f>
        <v/>
      </c>
      <c r="N8" s="3">
        <f>IF('Évolution par vidéo'!N8="","",'Évolution par vidéo'!N8-N('Évolution par vidéo'!N7))</f>
        <v/>
      </c>
      <c r="O8" s="3">
        <f>IF('Évolution par vidéo'!O8="","",'Évolution par vidéo'!O8-N('Évolution par vidéo'!O7))</f>
        <v/>
      </c>
      <c r="P8" s="3">
        <f>IF('Évolution par vidéo'!P8="","",'Évolution par vidéo'!P8-N('Évolution par vidéo'!P7))</f>
        <v/>
      </c>
      <c r="Q8" s="3">
        <f>SUM(B8:P8)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1" customWidth="1" min="13" max="13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10-19 📖 Il était une fois de</t>
        </is>
      </c>
      <c r="D1" s="1" t="inlineStr">
        <is>
          <t xml:space="preserve">10-20 Couvre-feux, manifs « </t>
        </is>
      </c>
      <c r="E1" s="1" t="inlineStr">
        <is>
          <t>10-20 Couvre-feu pour les ad</t>
        </is>
      </c>
      <c r="F1" s="1" t="inlineStr">
        <is>
          <t>10-21 Les syndicats de salar</t>
        </is>
      </c>
      <c r="G1" s="1" t="inlineStr">
        <is>
          <t>10-21 À toi de juger : taxer</t>
        </is>
      </c>
      <c r="H1" s="1" t="inlineStr">
        <is>
          <t>10-21 Gel des pensions : oui</t>
        </is>
      </c>
      <c r="I1" s="1" t="inlineStr">
        <is>
          <t>10-22 Couper les réseaux soc</t>
        </is>
      </c>
      <c r="J1" s="1" t="inlineStr">
        <is>
          <t>10-24 À toi de juger : il fa</t>
        </is>
      </c>
      <c r="K1" s="1" t="inlineStr">
        <is>
          <t>10-24 « Oui, nous avons perd</t>
        </is>
      </c>
      <c r="L1" s="1" t="inlineStr">
        <is>
          <t>10-24 Cinq infos de la semai</t>
        </is>
      </c>
      <c r="M1" s="1" t="inlineStr">
        <is>
          <t>Vues totales</t>
        </is>
      </c>
    </row>
    <row r="2">
      <c r="A2" s="2" t="inlineStr">
        <is>
          <t>2026-10-24 17:00</t>
        </is>
      </c>
      <c r="B2" s="3" t="n">
        <v>6</v>
      </c>
      <c r="C2" s="3" t="n">
        <v>79</v>
      </c>
      <c r="D2" s="3" t="n">
        <v>158</v>
      </c>
      <c r="E2" s="3" t="n">
        <v>108</v>
      </c>
      <c r="F2" s="3" t="n">
        <v>105</v>
      </c>
      <c r="G2" s="3" t="n">
        <v>128</v>
      </c>
      <c r="H2" s="3" t="n">
        <v>114</v>
      </c>
      <c r="I2" s="3" t="n">
        <v>76</v>
      </c>
      <c r="J2" s="3" t="n">
        <v>119</v>
      </c>
      <c r="K2" s="3" t="n">
        <v>124</v>
      </c>
      <c r="L2" s="3" t="n"/>
      <c r="M2" s="3">
        <f>SUM(C2:L2)</f>
        <v/>
      </c>
    </row>
    <row r="3">
      <c r="A3" s="2" t="inlineStr">
        <is>
          <t>2026-10-24 18:00</t>
        </is>
      </c>
      <c r="B3" s="3" t="n">
        <v>6</v>
      </c>
      <c r="C3" s="3" t="n">
        <v>79</v>
      </c>
      <c r="D3" s="3" t="n">
        <v>158</v>
      </c>
      <c r="E3" s="3" t="n">
        <v>108</v>
      </c>
      <c r="F3" s="3" t="n">
        <v>105</v>
      </c>
      <c r="G3" s="3" t="n">
        <v>128</v>
      </c>
      <c r="H3" s="3" t="n">
        <v>114</v>
      </c>
      <c r="I3" s="3" t="n">
        <v>76</v>
      </c>
      <c r="J3" s="3" t="n">
        <v>119</v>
      </c>
      <c r="K3" s="3" t="n">
        <v>130</v>
      </c>
      <c r="L3" s="3" t="n"/>
      <c r="M3" s="3">
        <f>SUM(C3:L3)</f>
        <v/>
      </c>
    </row>
    <row r="4">
      <c r="A4" s="2" t="inlineStr">
        <is>
          <t>2026-10-24 19:00</t>
        </is>
      </c>
      <c r="B4" s="3" t="n">
        <v>6</v>
      </c>
      <c r="C4" s="3" t="n">
        <v>79</v>
      </c>
      <c r="D4" s="3" t="n">
        <v>158</v>
      </c>
      <c r="E4" s="3" t="n">
        <v>108</v>
      </c>
      <c r="F4" s="3" t="n">
        <v>105</v>
      </c>
      <c r="G4" s="3" t="n">
        <v>128</v>
      </c>
      <c r="H4" s="3" t="n">
        <v>114</v>
      </c>
      <c r="I4" s="3" t="n">
        <v>76</v>
      </c>
      <c r="J4" s="3" t="n">
        <v>119</v>
      </c>
      <c r="K4" s="3" t="n">
        <v>135</v>
      </c>
      <c r="L4" s="3" t="n"/>
      <c r="M4" s="3">
        <f>SUM(C4:L4)</f>
        <v/>
      </c>
    </row>
    <row r="5">
      <c r="A5" s="2" t="inlineStr">
        <is>
          <t>2026-10-24 20:00</t>
        </is>
      </c>
      <c r="B5" s="3" t="n">
        <v>6</v>
      </c>
      <c r="C5" s="3" t="n">
        <v>79</v>
      </c>
      <c r="D5" s="3" t="n">
        <v>158</v>
      </c>
      <c r="E5" s="3" t="n">
        <v>108</v>
      </c>
      <c r="F5" s="3" t="n">
        <v>105</v>
      </c>
      <c r="G5" s="3" t="n">
        <v>128</v>
      </c>
      <c r="H5" s="3" t="n">
        <v>114</v>
      </c>
      <c r="I5" s="3" t="n">
        <v>76</v>
      </c>
      <c r="J5" s="3" t="n">
        <v>120</v>
      </c>
      <c r="K5" s="3" t="n">
        <v>137</v>
      </c>
      <c r="L5" s="3" t="n">
        <v>0</v>
      </c>
      <c r="M5" s="3">
        <f>SUM(C5:L5)</f>
        <v/>
      </c>
    </row>
    <row r="6">
      <c r="A6" s="2" t="inlineStr">
        <is>
          <t>2026-10-24 21:00</t>
        </is>
      </c>
      <c r="B6" s="3" t="n">
        <v>6</v>
      </c>
      <c r="C6" s="3" t="n">
        <v>79</v>
      </c>
      <c r="D6" s="3" t="n">
        <v>158</v>
      </c>
      <c r="E6" s="3" t="n">
        <v>108</v>
      </c>
      <c r="F6" s="3" t="n">
        <v>105</v>
      </c>
      <c r="G6" s="3" t="n">
        <v>128</v>
      </c>
      <c r="H6" s="3" t="n">
        <v>114</v>
      </c>
      <c r="I6" s="3" t="n">
        <v>76</v>
      </c>
      <c r="J6" s="3" t="n">
        <v>120</v>
      </c>
      <c r="K6" s="3" t="n">
        <v>137</v>
      </c>
      <c r="L6" s="3" t="n">
        <v>34</v>
      </c>
      <c r="M6" s="3">
        <f>SUM(C6:L6)</f>
        <v/>
      </c>
    </row>
    <row r="7">
      <c r="A7" s="2" t="inlineStr">
        <is>
          <t>2026-10-24 22:00</t>
        </is>
      </c>
      <c r="B7" s="3" t="n">
        <v>6</v>
      </c>
      <c r="C7" s="3" t="n">
        <v>79</v>
      </c>
      <c r="D7" s="3" t="n">
        <v>158</v>
      </c>
      <c r="E7" s="3" t="n">
        <v>108</v>
      </c>
      <c r="F7" s="3" t="n">
        <v>105</v>
      </c>
      <c r="G7" s="3" t="n">
        <v>128</v>
      </c>
      <c r="H7" s="3" t="n">
        <v>114</v>
      </c>
      <c r="I7" s="3" t="n">
        <v>76</v>
      </c>
      <c r="J7" s="3" t="n">
        <v>120</v>
      </c>
      <c r="K7" s="3" t="n">
        <v>137</v>
      </c>
      <c r="L7" s="3" t="n">
        <v>44</v>
      </c>
      <c r="M7" s="3">
        <f>SUM(C7:L7)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32" customHeight="1">
      <c r="A1" s="1" t="inlineStr">
        <is>
          <t>Heure</t>
        </is>
      </c>
      <c r="B1" s="1" t="inlineStr">
        <is>
          <t>10-19 📖 Il était une fois de</t>
        </is>
      </c>
      <c r="C1" s="1" t="inlineStr">
        <is>
          <t xml:space="preserve">10-20 Couvre-feux, manifs « </t>
        </is>
      </c>
      <c r="D1" s="1" t="inlineStr">
        <is>
          <t>10-20 Couvre-feu pour les ad</t>
        </is>
      </c>
      <c r="E1" s="1" t="inlineStr">
        <is>
          <t>10-21 Les syndicats de salar</t>
        </is>
      </c>
      <c r="F1" s="1" t="inlineStr">
        <is>
          <t>10-21 À toi de juger : taxer</t>
        </is>
      </c>
      <c r="G1" s="1" t="inlineStr">
        <is>
          <t>10-21 Gel des pensions : oui</t>
        </is>
      </c>
      <c r="H1" s="1" t="inlineStr">
        <is>
          <t>10-22 Couper les réseaux soc</t>
        </is>
      </c>
      <c r="I1" s="1" t="inlineStr">
        <is>
          <t>10-24 À toi de juger : il fa</t>
        </is>
      </c>
      <c r="J1" s="1" t="inlineStr">
        <is>
          <t>10-24 « Oui, nous avons perd</t>
        </is>
      </c>
      <c r="K1" s="1" t="inlineStr">
        <is>
          <t>10-24 Cinq infos de la semai</t>
        </is>
      </c>
      <c r="L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 t="inlineStr"/>
      <c r="F2" s="3" t="inlineStr"/>
      <c r="G2" s="3" t="inlineStr"/>
      <c r="H2" s="3" t="inlineStr"/>
      <c r="I2" s="3" t="inlineStr"/>
      <c r="J2" s="3" t="inlineStr"/>
      <c r="K2" s="3" t="inlineStr"/>
      <c r="L2" s="3">
        <f>SUM(B2:K2)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IF('Heure par heure'!F3="","",'Heure par heure'!F3-N('Heure par heure'!F2))</f>
        <v/>
      </c>
      <c r="F3" s="3">
        <f>IF('Heure par heure'!G3="","",'Heure par heure'!G3-N('Heure par heure'!G2))</f>
        <v/>
      </c>
      <c r="G3" s="3">
        <f>IF('Heure par heure'!H3="","",'Heure par heure'!H3-N('Heure par heure'!H2))</f>
        <v/>
      </c>
      <c r="H3" s="3">
        <f>IF('Heure par heure'!I3="","",'Heure par heure'!I3-N('Heure par heure'!I2))</f>
        <v/>
      </c>
      <c r="I3" s="3">
        <f>IF('Heure par heure'!J3="","",'Heure par heure'!J3-N('Heure par heure'!J2))</f>
        <v/>
      </c>
      <c r="J3" s="3">
        <f>IF('Heure par heure'!K3="","",'Heure par heure'!K3-N('Heure par heure'!K2))</f>
        <v/>
      </c>
      <c r="K3" s="3">
        <f>IF('Heure par heure'!L3="","",'Heure par heure'!L3-N('Heure par heure'!L2))</f>
        <v/>
      </c>
      <c r="L3" s="3">
        <f>SUM(B3:K3)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IF('Heure par heure'!F4="","",'Heure par heure'!F4-N('Heure par heure'!F3))</f>
        <v/>
      </c>
      <c r="F4" s="3">
        <f>IF('Heure par heure'!G4="","",'Heure par heure'!G4-N('Heure par heure'!G3))</f>
        <v/>
      </c>
      <c r="G4" s="3">
        <f>IF('Heure par heure'!H4="","",'Heure par heure'!H4-N('Heure par heure'!H3))</f>
        <v/>
      </c>
      <c r="H4" s="3">
        <f>IF('Heure par heure'!I4="","",'Heure par heure'!I4-N('Heure par heure'!I3))</f>
        <v/>
      </c>
      <c r="I4" s="3">
        <f>IF('Heure par heure'!J4="","",'Heure par heure'!J4-N('Heure par heure'!J3))</f>
        <v/>
      </c>
      <c r="J4" s="3">
        <f>IF('Heure par heure'!K4="","",'Heure par heure'!K4-N('Heure par heure'!K3))</f>
        <v/>
      </c>
      <c r="K4" s="3">
        <f>IF('Heure par heure'!L4="","",'Heure par heure'!L4-N('Heure par heure'!L3))</f>
        <v/>
      </c>
      <c r="L4" s="3">
        <f>SUM(B4:K4)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IF('Heure par heure'!F5="","",'Heure par heure'!F5-N('Heure par heure'!F4))</f>
        <v/>
      </c>
      <c r="F5" s="3">
        <f>IF('Heure par heure'!G5="","",'Heure par heure'!G5-N('Heure par heure'!G4))</f>
        <v/>
      </c>
      <c r="G5" s="3">
        <f>IF('Heure par heure'!H5="","",'Heure par heure'!H5-N('Heure par heure'!H4))</f>
        <v/>
      </c>
      <c r="H5" s="3">
        <f>IF('Heure par heure'!I5="","",'Heure par heure'!I5-N('Heure par heure'!I4))</f>
        <v/>
      </c>
      <c r="I5" s="3">
        <f>IF('Heure par heure'!J5="","",'Heure par heure'!J5-N('Heure par heure'!J4))</f>
        <v/>
      </c>
      <c r="J5" s="3">
        <f>IF('Heure par heure'!K5="","",'Heure par heure'!K5-N('Heure par heure'!K4))</f>
        <v/>
      </c>
      <c r="K5" s="3">
        <f>IF('Heure par heure'!L5="","",'Heure par heure'!L5-N('Heure par heure'!L4))</f>
        <v/>
      </c>
      <c r="L5" s="3">
        <f>SUM(B5:K5)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IF('Heure par heure'!F6="","",'Heure par heure'!F6-N('Heure par heure'!F5))</f>
        <v/>
      </c>
      <c r="F6" s="3">
        <f>IF('Heure par heure'!G6="","",'Heure par heure'!G6-N('Heure par heure'!G5))</f>
        <v/>
      </c>
      <c r="G6" s="3">
        <f>IF('Heure par heure'!H6="","",'Heure par heure'!H6-N('Heure par heure'!H5))</f>
        <v/>
      </c>
      <c r="H6" s="3">
        <f>IF('Heure par heure'!I6="","",'Heure par heure'!I6-N('Heure par heure'!I5))</f>
        <v/>
      </c>
      <c r="I6" s="3">
        <f>IF('Heure par heure'!J6="","",'Heure par heure'!J6-N('Heure par heure'!J5))</f>
        <v/>
      </c>
      <c r="J6" s="3">
        <f>IF('Heure par heure'!K6="","",'Heure par heure'!K6-N('Heure par heure'!K5))</f>
        <v/>
      </c>
      <c r="K6" s="3">
        <f>IF('Heure par heure'!L6="","",'Heure par heure'!L6-N('Heure par heure'!L5))</f>
        <v/>
      </c>
      <c r="L6" s="3">
        <f>SUM(B6:K6)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IF('Heure par heure'!F7="","",'Heure par heure'!F7-N('Heure par heure'!F6))</f>
        <v/>
      </c>
      <c r="F7" s="3">
        <f>IF('Heure par heure'!G7="","",'Heure par heure'!G7-N('Heure par heure'!G6))</f>
        <v/>
      </c>
      <c r="G7" s="3">
        <f>IF('Heure par heure'!H7="","",'Heure par heure'!H7-N('Heure par heure'!H6))</f>
        <v/>
      </c>
      <c r="H7" s="3">
        <f>IF('Heure par heure'!I7="","",'Heure par heure'!I7-N('Heure par heure'!I6))</f>
        <v/>
      </c>
      <c r="I7" s="3">
        <f>IF('Heure par heure'!J7="","",'Heure par heure'!J7-N('Heure par heure'!J6))</f>
        <v/>
      </c>
      <c r="J7" s="3">
        <f>IF('Heure par heure'!K7="","",'Heure par heure'!K7-N('Heure par heure'!K6))</f>
        <v/>
      </c>
      <c r="K7" s="3">
        <f>IF('Heure par heure'!L7="","",'Heure par heure'!L7-N('Heure par heure'!L6))</f>
        <v/>
      </c>
      <c r="L7" s="3">
        <f>SUM(B7:K7)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2026-10-17 17:45</t>
        </is>
      </c>
      <c r="B2" s="3" t="n">
        <v>4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1</v>
      </c>
      <c r="H2" s="3" t="n">
        <v>1</v>
      </c>
      <c r="I2" s="2" t="inlineStr">
        <is>
          <t>ouvrir</t>
        </is>
      </c>
    </row>
    <row r="3">
      <c r="A3" s="2" t="inlineStr">
        <is>
          <t>2026-10-17 17:50</t>
        </is>
      </c>
      <c r="B3" s="3" t="n">
        <v>2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3</v>
      </c>
      <c r="I3" s="2" t="inlineStr">
        <is>
          <t>ouvrir</t>
        </is>
      </c>
    </row>
    <row r="4">
      <c r="A4" s="2" t="inlineStr">
        <is>
          <t>2026-10-18 10:14</t>
        </is>
      </c>
      <c r="B4" s="3" t="n">
        <v>5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1</v>
      </c>
      <c r="H4" s="3" t="n">
        <v>1</v>
      </c>
      <c r="I4" s="2" t="inlineStr">
        <is>
          <t>ouvrir</t>
        </is>
      </c>
    </row>
    <row r="5">
      <c r="A5" s="2" t="inlineStr">
        <is>
          <t>2026-10-18 10:36</t>
        </is>
      </c>
      <c r="B5" s="3" t="n">
        <v>5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1</v>
      </c>
      <c r="I5" s="2" t="inlineStr">
        <is>
          <t>ouvrir</t>
        </is>
      </c>
    </row>
    <row r="6">
      <c r="A6" s="2" t="inlineStr">
        <is>
          <t>2026-10-18 13:04</t>
        </is>
      </c>
      <c r="B6" s="3" t="n">
        <v>4</v>
      </c>
      <c r="C6" s="3" t="n">
        <v>0</v>
      </c>
      <c r="D6" s="3" t="n">
        <v>0</v>
      </c>
      <c r="E6" s="3" t="n">
        <v>0</v>
      </c>
      <c r="F6" s="3" t="n">
        <v>0</v>
      </c>
      <c r="G6" s="3" t="n">
        <v>0</v>
      </c>
      <c r="H6" s="3" t="n">
        <v>1</v>
      </c>
      <c r="I6" s="2" t="inlineStr">
        <is>
          <t>ouvrir</t>
        </is>
      </c>
    </row>
    <row r="7">
      <c r="A7" s="2" t="inlineStr">
        <is>
          <t>2026-10-18 13:04</t>
        </is>
      </c>
      <c r="B7" s="3" t="n">
        <v>4</v>
      </c>
      <c r="C7" s="3" t="n">
        <v>0</v>
      </c>
      <c r="D7" s="3" t="n">
        <v>0</v>
      </c>
      <c r="E7" s="3" t="n">
        <v>0</v>
      </c>
      <c r="F7" s="3" t="n">
        <v>0</v>
      </c>
      <c r="G7" s="3" t="n">
        <v>0</v>
      </c>
      <c r="H7" s="3" t="n">
        <v>1</v>
      </c>
      <c r="I7" s="2" t="inlineStr">
        <is>
          <t>ouvrir</t>
        </is>
      </c>
    </row>
    <row r="8">
      <c r="A8" s="2" t="inlineStr">
        <is>
          <t>2026-10-18 13:53</t>
        </is>
      </c>
      <c r="B8" s="3" t="n">
        <v>4</v>
      </c>
      <c r="C8" s="3" t="n">
        <v>0</v>
      </c>
      <c r="D8" s="3" t="n">
        <v>0</v>
      </c>
      <c r="E8" s="3" t="n">
        <v>0</v>
      </c>
      <c r="F8" s="3" t="n">
        <v>0</v>
      </c>
      <c r="G8" s="3" t="n">
        <v>0</v>
      </c>
      <c r="H8" s="3" t="n">
        <v>2</v>
      </c>
      <c r="I8" s="2" t="inlineStr">
        <is>
          <t>ouvrir</t>
        </is>
      </c>
    </row>
    <row r="9">
      <c r="A9" s="2" t="inlineStr">
        <is>
          <t>2026-10-18 19:51</t>
        </is>
      </c>
      <c r="B9" s="3" t="n">
        <v>5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1</v>
      </c>
      <c r="I9" s="2" t="inlineStr">
        <is>
          <t>ouvrir</t>
        </is>
      </c>
    </row>
    <row r="10">
      <c r="A10" s="2" t="inlineStr">
        <is>
          <t>2026-10-18 20:19</t>
        </is>
      </c>
      <c r="B10" s="3" t="n">
        <v>5</v>
      </c>
      <c r="C10" s="3" t="n">
        <v>0</v>
      </c>
      <c r="D10" s="3" t="n">
        <v>0</v>
      </c>
      <c r="E10" s="3" t="n">
        <v>0</v>
      </c>
      <c r="F10" s="3" t="n">
        <v>0</v>
      </c>
      <c r="G10" s="3" t="n">
        <v>0</v>
      </c>
      <c r="H10" s="3" t="n">
        <v>1</v>
      </c>
      <c r="I10" s="2" t="inlineStr">
        <is>
          <t>ouvrir</t>
        </is>
      </c>
    </row>
    <row r="11">
      <c r="A11" s="2" t="inlineStr">
        <is>
          <t>2026-10-19 06:14</t>
        </is>
      </c>
      <c r="B11" s="3" t="n">
        <v>3</v>
      </c>
      <c r="C11" s="3" t="n">
        <v>0</v>
      </c>
      <c r="D11" s="3" t="n">
        <v>0</v>
      </c>
      <c r="E11" s="3" t="n">
        <v>0</v>
      </c>
      <c r="F11" s="3" t="n">
        <v>0</v>
      </c>
      <c r="G11" s="3" t="n">
        <v>1</v>
      </c>
      <c r="H11" s="3" t="n">
        <v>1</v>
      </c>
      <c r="I11" s="2" t="inlineStr">
        <is>
          <t>ouvrir</t>
        </is>
      </c>
    </row>
    <row r="12">
      <c r="A12" s="2" t="inlineStr">
        <is>
          <t>2026-10-19 06:57</t>
        </is>
      </c>
      <c r="B12" s="3" t="n">
        <v>3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1</v>
      </c>
      <c r="H12" s="3" t="n">
        <v>1</v>
      </c>
      <c r="I12" s="2" t="inlineStr">
        <is>
          <t>ouvrir</t>
        </is>
      </c>
    </row>
    <row r="13">
      <c r="A13" s="2" t="inlineStr">
        <is>
          <t>2026-10-19 08:14</t>
        </is>
      </c>
      <c r="B13" s="3" t="n">
        <v>1</v>
      </c>
      <c r="C13" s="3" t="n">
        <v>0</v>
      </c>
      <c r="D13" s="3" t="n">
        <v>0</v>
      </c>
      <c r="E13" s="3" t="n">
        <v>0</v>
      </c>
      <c r="F13" s="3" t="n">
        <v>0</v>
      </c>
      <c r="G13" s="3" t="n">
        <v>0</v>
      </c>
      <c r="H13" s="3" t="n">
        <v>1</v>
      </c>
      <c r="I13" s="2" t="inlineStr">
        <is>
          <t>ouvrir</t>
        </is>
      </c>
    </row>
    <row r="14">
      <c r="A14" s="2" t="inlineStr">
        <is>
          <t>2026-10-19 08:14</t>
        </is>
      </c>
      <c r="B14" s="3" t="n">
        <v>2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1</v>
      </c>
      <c r="I14" s="2" t="inlineStr">
        <is>
          <t>ouvrir</t>
        </is>
      </c>
    </row>
    <row r="15">
      <c r="A15" s="2" t="inlineStr">
        <is>
          <t>2026-10-19 08:18</t>
        </is>
      </c>
      <c r="B15" s="3" t="n">
        <v>1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1</v>
      </c>
      <c r="I15" s="2" t="inlineStr">
        <is>
          <t>ouvrir</t>
        </is>
      </c>
    </row>
    <row r="16">
      <c r="A16" s="2" t="inlineStr">
        <is>
          <t>2026-10-19 09:09</t>
        </is>
      </c>
      <c r="B16" s="3" t="n">
        <v>1</v>
      </c>
      <c r="C16" s="3" t="n">
        <v>0</v>
      </c>
      <c r="D16" s="3" t="n">
        <v>0</v>
      </c>
      <c r="E16" s="3" t="n">
        <v>0</v>
      </c>
      <c r="F16" s="3" t="n">
        <v>0</v>
      </c>
      <c r="G16" s="3" t="n">
        <v>0</v>
      </c>
      <c r="H16" s="3" t="n">
        <v>0</v>
      </c>
      <c r="I16" s="2" t="inlineStr">
        <is>
          <t>ouvrir</t>
        </is>
      </c>
    </row>
    <row r="17">
      <c r="A17" s="2" t="inlineStr">
        <is>
          <t>2026-10-19 09:12</t>
        </is>
      </c>
      <c r="B17" s="3" t="n">
        <v>0</v>
      </c>
      <c r="C17" s="3" t="n">
        <v>0</v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2" t="inlineStr">
        <is>
          <t>ouvrir</t>
        </is>
      </c>
    </row>
    <row r="18">
      <c r="A18" s="2" t="inlineStr">
        <is>
          <t>2026-10-19 09:13</t>
        </is>
      </c>
      <c r="B18" s="3" t="n">
        <v>0</v>
      </c>
      <c r="C18" s="3" t="n">
        <v>0</v>
      </c>
      <c r="D18" s="3" t="n">
        <v>0</v>
      </c>
      <c r="E18" s="3" t="n">
        <v>0</v>
      </c>
      <c r="F18" s="3" t="n">
        <v>0</v>
      </c>
      <c r="G18" s="3" t="n">
        <v>0</v>
      </c>
      <c r="H18" s="3" t="n">
        <v>0</v>
      </c>
      <c r="I18" s="2" t="inlineStr">
        <is>
          <t>ouvrir</t>
        </is>
      </c>
    </row>
    <row r="19">
      <c r="A19" s="2" t="inlineStr">
        <is>
          <t>2026-10-19 12:06</t>
        </is>
      </c>
      <c r="B19" s="3" t="n">
        <v>0</v>
      </c>
      <c r="C19" s="3" t="n">
        <v>0</v>
      </c>
      <c r="D19" s="3" t="n">
        <v>0</v>
      </c>
      <c r="E19" s="3" t="n">
        <v>0</v>
      </c>
      <c r="F19" s="3" t="n">
        <v>0</v>
      </c>
      <c r="G19" s="3" t="n">
        <v>0</v>
      </c>
      <c r="H19" s="3" t="n">
        <v>0</v>
      </c>
      <c r="I19" s="2" t="inlineStr">
        <is>
          <t>ouvrir</t>
        </is>
      </c>
    </row>
    <row r="20">
      <c r="A20" s="2" t="inlineStr">
        <is>
          <t>2026-10-19 12:06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0</v>
      </c>
      <c r="G20" s="3" t="n">
        <v>0</v>
      </c>
      <c r="H20" s="3" t="n">
        <v>0</v>
      </c>
      <c r="I20" s="2" t="inlineStr">
        <is>
          <t>ouvrir</t>
        </is>
      </c>
    </row>
    <row r="21">
      <c r="A21" s="2" t="inlineStr">
        <is>
          <t>2026-10-19 18:00</t>
        </is>
      </c>
      <c r="B21" s="3" t="n">
        <v>3</v>
      </c>
      <c r="C21" s="3" t="n">
        <v>0</v>
      </c>
      <c r="D21" s="3" t="n">
        <v>0</v>
      </c>
      <c r="E21" s="3" t="n">
        <v>0</v>
      </c>
      <c r="F21" s="3" t="n">
        <v>0</v>
      </c>
      <c r="G21" s="3" t="n">
        <v>0</v>
      </c>
      <c r="H21" s="3" t="n">
        <v>0</v>
      </c>
      <c r="I21" s="2" t="inlineStr">
        <is>
          <t>ouvrir</t>
        </is>
      </c>
    </row>
    <row r="22">
      <c r="A22" s="2" t="inlineStr">
        <is>
          <t>2026-10-20 08:15</t>
        </is>
      </c>
      <c r="B22" s="3" t="n">
        <v>1</v>
      </c>
      <c r="C22" s="3" t="n">
        <v>0</v>
      </c>
      <c r="D22" s="3" t="n">
        <v>0</v>
      </c>
      <c r="E22" s="3" t="n">
        <v>0</v>
      </c>
      <c r="F22" s="3" t="n">
        <v>0</v>
      </c>
      <c r="G22" s="3" t="n">
        <v>0</v>
      </c>
      <c r="H22" s="3" t="n">
        <v>0</v>
      </c>
      <c r="I22" s="2" t="inlineStr">
        <is>
          <t>ouvrir</t>
        </is>
      </c>
    </row>
    <row r="23">
      <c r="A23" s="2" t="inlineStr">
        <is>
          <t>2026-10-20 10:34</t>
        </is>
      </c>
      <c r="B23" s="3" t="n">
        <v>2</v>
      </c>
      <c r="C23" s="3" t="n">
        <v>0</v>
      </c>
      <c r="D23" s="3" t="n">
        <v>0</v>
      </c>
      <c r="E23" s="3" t="n">
        <v>0</v>
      </c>
      <c r="F23" s="3" t="n">
        <v>0</v>
      </c>
      <c r="G23" s="3" t="n">
        <v>1</v>
      </c>
      <c r="H23" s="3" t="n">
        <v>0</v>
      </c>
      <c r="I23" s="2" t="inlineStr">
        <is>
          <t>ouvrir</t>
        </is>
      </c>
    </row>
    <row r="24">
      <c r="A24" s="2" t="inlineStr">
        <is>
          <t>2026-10-20 10:34</t>
        </is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2" t="inlineStr">
        <is>
          <t>ouvrir</t>
        </is>
      </c>
    </row>
    <row r="25">
      <c r="A25" s="2" t="inlineStr">
        <is>
          <t>2026-10-20 13:38</t>
        </is>
      </c>
      <c r="B25" s="3" t="n">
        <v>0</v>
      </c>
      <c r="C25" s="3" t="n">
        <v>0</v>
      </c>
      <c r="D25" s="3" t="n">
        <v>0</v>
      </c>
      <c r="E25" s="3" t="n">
        <v>0</v>
      </c>
      <c r="F25" s="3" t="n">
        <v>0</v>
      </c>
      <c r="G25" s="3" t="n">
        <v>0</v>
      </c>
      <c r="H25" s="3" t="n">
        <v>0</v>
      </c>
      <c r="I25" s="2" t="inlineStr">
        <is>
          <t>ouvrir</t>
        </is>
      </c>
    </row>
    <row r="26">
      <c r="A26" s="2" t="inlineStr">
        <is>
          <t>2026-10-20 16:07</t>
        </is>
      </c>
      <c r="B26" s="3" t="n">
        <v>1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2" t="inlineStr">
        <is>
          <t>ouvrir</t>
        </is>
      </c>
    </row>
    <row r="27">
      <c r="A27" s="2" t="inlineStr">
        <is>
          <t>2026-10-21 07:20</t>
        </is>
      </c>
      <c r="B27" s="3" t="n">
        <v>1</v>
      </c>
      <c r="C27" s="3" t="n">
        <v>0</v>
      </c>
      <c r="D27" s="3" t="n">
        <v>0</v>
      </c>
      <c r="E27" s="3" t="n">
        <v>0</v>
      </c>
      <c r="F27" s="3" t="n">
        <v>0</v>
      </c>
      <c r="G27" s="3" t="n">
        <v>0</v>
      </c>
      <c r="H27" s="3" t="n">
        <v>0</v>
      </c>
      <c r="I27" s="2" t="inlineStr">
        <is>
          <t>ouvrir</t>
        </is>
      </c>
    </row>
    <row r="28">
      <c r="A28" s="2" t="inlineStr">
        <is>
          <t>2026-10-21 08:03</t>
        </is>
      </c>
      <c r="B28" s="3" t="n">
        <v>3</v>
      </c>
      <c r="C28" s="3" t="n">
        <v>0</v>
      </c>
      <c r="D28" s="3" t="n">
        <v>0</v>
      </c>
      <c r="E28" s="3" t="n">
        <v>0</v>
      </c>
      <c r="F28" s="3" t="n">
        <v>0</v>
      </c>
      <c r="G28" s="3" t="n">
        <v>0</v>
      </c>
      <c r="H28" s="3" t="n">
        <v>0</v>
      </c>
      <c r="I28" s="2" t="inlineStr">
        <is>
          <t>ouvrir</t>
        </is>
      </c>
    </row>
    <row r="29">
      <c r="A29" s="2" t="inlineStr">
        <is>
          <t>2026-10-21 10:05</t>
        </is>
      </c>
      <c r="B29" s="3" t="n">
        <v>2</v>
      </c>
      <c r="C29" s="3" t="n">
        <v>0</v>
      </c>
      <c r="D29" s="3" t="n">
        <v>0</v>
      </c>
      <c r="E29" s="3" t="n">
        <v>0</v>
      </c>
      <c r="F29" s="3" t="n">
        <v>0</v>
      </c>
      <c r="G29" s="3" t="n">
        <v>0</v>
      </c>
      <c r="H29" s="3" t="n">
        <v>0</v>
      </c>
      <c r="I29" s="2" t="inlineStr">
        <is>
          <t>ouvrir</t>
        </is>
      </c>
    </row>
    <row r="30">
      <c r="A30" s="2" t="inlineStr">
        <is>
          <t>2026-10-21 12:08</t>
        </is>
      </c>
      <c r="B30" s="3" t="n">
        <v>1</v>
      </c>
      <c r="C30" s="3" t="n">
        <v>0</v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2" t="inlineStr">
        <is>
          <t>ouvrir</t>
        </is>
      </c>
    </row>
    <row r="31">
      <c r="A31" s="2" t="inlineStr">
        <is>
          <t>2026-10-21 15:05</t>
        </is>
      </c>
      <c r="B31" s="3" t="n">
        <v>1</v>
      </c>
      <c r="C31" s="3" t="n">
        <v>0</v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1</v>
      </c>
      <c r="I31" s="2" t="inlineStr">
        <is>
          <t>ouvrir</t>
        </is>
      </c>
    </row>
    <row r="32">
      <c r="A32" s="2" t="inlineStr">
        <is>
          <t>2026-10-21 16:09</t>
        </is>
      </c>
      <c r="B32" s="3" t="n">
        <v>1</v>
      </c>
      <c r="C32" s="3" t="n">
        <v>0</v>
      </c>
      <c r="D32" s="3" t="n">
        <v>0</v>
      </c>
      <c r="E32" s="3" t="n">
        <v>0</v>
      </c>
      <c r="F32" s="3" t="n">
        <v>0</v>
      </c>
      <c r="G32" s="3" t="n">
        <v>0</v>
      </c>
      <c r="H32" s="3" t="n">
        <v>1</v>
      </c>
      <c r="I32" s="2" t="inlineStr">
        <is>
          <t>ouvrir</t>
        </is>
      </c>
    </row>
    <row r="33">
      <c r="A33" s="2" t="inlineStr">
        <is>
          <t>2026-10-22 08:13</t>
        </is>
      </c>
      <c r="B33" s="3" t="n">
        <v>2</v>
      </c>
      <c r="C33" s="3" t="n">
        <v>0</v>
      </c>
      <c r="D33" s="3" t="n">
        <v>0</v>
      </c>
      <c r="E33" s="3" t="n">
        <v>0</v>
      </c>
      <c r="F33" s="3" t="n">
        <v>0</v>
      </c>
      <c r="G33" s="3" t="n">
        <v>0</v>
      </c>
      <c r="H33" s="3" t="n">
        <v>0</v>
      </c>
      <c r="I33" s="2" t="inlineStr">
        <is>
          <t>ouvrir</t>
        </is>
      </c>
    </row>
    <row r="34">
      <c r="A34" s="2" t="inlineStr">
        <is>
          <t>2026-10-22 12:09</t>
        </is>
      </c>
      <c r="B34" s="3" t="n">
        <v>1</v>
      </c>
      <c r="C34" s="3" t="n">
        <v>0</v>
      </c>
      <c r="D34" s="3" t="n">
        <v>0</v>
      </c>
      <c r="E34" s="3" t="n">
        <v>0</v>
      </c>
      <c r="F34" s="3" t="n">
        <v>0</v>
      </c>
      <c r="G34" s="3" t="n">
        <v>0</v>
      </c>
      <c r="H34" s="3" t="n">
        <v>0</v>
      </c>
      <c r="I34" s="2" t="inlineStr">
        <is>
          <t>ouvrir</t>
        </is>
      </c>
    </row>
    <row r="35">
      <c r="A35" s="2" t="inlineStr">
        <is>
          <t>2026-10-24 10:04</t>
        </is>
      </c>
      <c r="B35" s="3" t="n">
        <v>0</v>
      </c>
      <c r="C35" s="3" t="n">
        <v>0</v>
      </c>
      <c r="D35" s="3" t="n">
        <v>0</v>
      </c>
      <c r="E35" s="3" t="n">
        <v>0</v>
      </c>
      <c r="F35" s="3" t="n">
        <v>0</v>
      </c>
      <c r="G35" s="3" t="n">
        <v>0</v>
      </c>
      <c r="H35" s="3" t="n">
        <v>0</v>
      </c>
      <c r="I35" s="2" t="inlineStr">
        <is>
          <t>ouvrir</t>
        </is>
      </c>
    </row>
    <row r="36">
      <c r="A36" s="2" t="inlineStr">
        <is>
          <t>2026-10-24 12:31</t>
        </is>
      </c>
      <c r="B36" s="3" t="n">
        <v>0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0</v>
      </c>
      <c r="I36" s="2" t="inlineStr">
        <is>
          <t>ouvrir</t>
        </is>
      </c>
    </row>
    <row r="37">
      <c r="A37" s="2" t="inlineStr">
        <is>
          <t>2026-10-24 13:57</t>
        </is>
      </c>
      <c r="B37" s="3" t="n">
        <v>0</v>
      </c>
      <c r="C37" s="3" t="n">
        <v>0</v>
      </c>
      <c r="D37" s="3" t="n">
        <v>0</v>
      </c>
      <c r="E37" s="3" t="n">
        <v>0</v>
      </c>
      <c r="F37" s="3" t="n">
        <v>0</v>
      </c>
      <c r="G37" s="3" t="n">
        <v>0</v>
      </c>
      <c r="H37" s="3" t="n">
        <v>0</v>
      </c>
      <c r="I37" s="2" t="inlineStr">
        <is>
          <t>ouvrir</t>
        </is>
      </c>
    </row>
    <row r="38">
      <c r="A38" s="2" t="inlineStr">
        <is>
          <t>2026-10-24 13:57</t>
        </is>
      </c>
      <c r="B38" s="3" t="n">
        <v>0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2" t="inlineStr">
        <is>
          <t>ouvrir</t>
        </is>
      </c>
    </row>
    <row r="39">
      <c r="A39" s="2" t="inlineStr">
        <is>
          <t>2026-10-24 13:58</t>
        </is>
      </c>
      <c r="B39" s="3" t="n">
        <v>0</v>
      </c>
      <c r="C39" s="3" t="n">
        <v>0</v>
      </c>
      <c r="D39" s="3" t="n">
        <v>0</v>
      </c>
      <c r="E39" s="3" t="n">
        <v>0</v>
      </c>
      <c r="F39" s="3" t="n">
        <v>0</v>
      </c>
      <c r="G39" s="3" t="n">
        <v>0</v>
      </c>
      <c r="H39" s="3" t="n">
        <v>0</v>
      </c>
      <c r="I39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6" r:id="rId5"/>
    <hyperlink xmlns:r="http://schemas.openxmlformats.org/officeDocument/2006/relationships" ref="I7" r:id="rId6"/>
    <hyperlink xmlns:r="http://schemas.openxmlformats.org/officeDocument/2006/relationships" ref="I8" r:id="rId7"/>
    <hyperlink xmlns:r="http://schemas.openxmlformats.org/officeDocument/2006/relationships" ref="I9" r:id="rId8"/>
    <hyperlink xmlns:r="http://schemas.openxmlformats.org/officeDocument/2006/relationships" ref="I10" r:id="rId9"/>
    <hyperlink xmlns:r="http://schemas.openxmlformats.org/officeDocument/2006/relationships" ref="I11" r:id="rId10"/>
    <hyperlink xmlns:r="http://schemas.openxmlformats.org/officeDocument/2006/relationships" ref="I12" r:id="rId11"/>
    <hyperlink xmlns:r="http://schemas.openxmlformats.org/officeDocument/2006/relationships" ref="I13" r:id="rId12"/>
    <hyperlink xmlns:r="http://schemas.openxmlformats.org/officeDocument/2006/relationships" ref="I14" r:id="rId13"/>
    <hyperlink xmlns:r="http://schemas.openxmlformats.org/officeDocument/2006/relationships" ref="I15" r:id="rId14"/>
    <hyperlink xmlns:r="http://schemas.openxmlformats.org/officeDocument/2006/relationships" ref="I16" r:id="rId15"/>
    <hyperlink xmlns:r="http://schemas.openxmlformats.org/officeDocument/2006/relationships" ref="I17" r:id="rId16"/>
    <hyperlink xmlns:r="http://schemas.openxmlformats.org/officeDocument/2006/relationships" ref="I18" r:id="rId17"/>
    <hyperlink xmlns:r="http://schemas.openxmlformats.org/officeDocument/2006/relationships" ref="I19" r:id="rId18"/>
    <hyperlink xmlns:r="http://schemas.openxmlformats.org/officeDocument/2006/relationships" ref="I20" r:id="rId19"/>
    <hyperlink xmlns:r="http://schemas.openxmlformats.org/officeDocument/2006/relationships" ref="I21" r:id="rId20"/>
    <hyperlink xmlns:r="http://schemas.openxmlformats.org/officeDocument/2006/relationships" ref="I22" r:id="rId21"/>
    <hyperlink xmlns:r="http://schemas.openxmlformats.org/officeDocument/2006/relationships" ref="I23" r:id="rId22"/>
    <hyperlink xmlns:r="http://schemas.openxmlformats.org/officeDocument/2006/relationships" ref="I24" r:id="rId23"/>
    <hyperlink xmlns:r="http://schemas.openxmlformats.org/officeDocument/2006/relationships" ref="I25" r:id="rId24"/>
    <hyperlink xmlns:r="http://schemas.openxmlformats.org/officeDocument/2006/relationships" ref="I26" r:id="rId25"/>
    <hyperlink xmlns:r="http://schemas.openxmlformats.org/officeDocument/2006/relationships" ref="I27" r:id="rId26"/>
    <hyperlink xmlns:r="http://schemas.openxmlformats.org/officeDocument/2006/relationships" ref="I28" r:id="rId27"/>
    <hyperlink xmlns:r="http://schemas.openxmlformats.org/officeDocument/2006/relationships" ref="I29" r:id="rId28"/>
    <hyperlink xmlns:r="http://schemas.openxmlformats.org/officeDocument/2006/relationships" ref="I30" r:id="rId29"/>
    <hyperlink xmlns:r="http://schemas.openxmlformats.org/officeDocument/2006/relationships" ref="I31" r:id="rId30"/>
    <hyperlink xmlns:r="http://schemas.openxmlformats.org/officeDocument/2006/relationships" ref="I32" r:id="rId31"/>
    <hyperlink xmlns:r="http://schemas.openxmlformats.org/officeDocument/2006/relationships" ref="I33" r:id="rId32"/>
    <hyperlink xmlns:r="http://schemas.openxmlformats.org/officeDocument/2006/relationships" ref="I34" r:id="rId33"/>
    <hyperlink xmlns:r="http://schemas.openxmlformats.org/officeDocument/2006/relationships" ref="I35" r:id="rId34"/>
    <hyperlink xmlns:r="http://schemas.openxmlformats.org/officeDocument/2006/relationships" ref="I36" r:id="rId35"/>
    <hyperlink xmlns:r="http://schemas.openxmlformats.org/officeDocument/2006/relationships" ref="I37" r:id="rId36"/>
    <hyperlink xmlns:r="http://schemas.openxmlformats.org/officeDocument/2006/relationships" ref="I38" r:id="rId37"/>
    <hyperlink xmlns:r="http://schemas.openxmlformats.org/officeDocument/2006/relationships" ref="I39" r:id="rId38"/>
  </hyperlinks>
  <pageMargins left="0.75" right="0.75" top="1" bottom="1" header="0.5" footer="0.5"/>
  <drawing xmlns:r="http://schemas.openxmlformats.org/officeDocument/2006/relationships" r:id="rId3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· Actu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2026-10-24T20:18:31Z</dcterms:created>
  <dcterms:modified xsi:type="dcterms:W3CDTF">2026-10-24T20:18:31Z</dcterms:modified>
</cp:coreProperties>
</file>