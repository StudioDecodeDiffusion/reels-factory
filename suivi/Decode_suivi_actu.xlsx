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jour'!$E$2:$E$13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jour'!$L$2:$L$13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jour'!$F$2:$F$13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jour'!$H$2:$H$13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jour'!$C$2:$C$13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vidéo'!$B$2:$B$13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vidéo'!$C$2:$C$13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vidéo'!$D$2:$D$13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vidéo'!$E$2:$E$13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vidéo'!$F$2:$F$13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vidéo'!$G$2:$G$13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vidéo'!$H$2:$H$13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vidéo'!$I$2:$I$13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vidéo'!$J$2:$J$13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vidéo'!$K$2:$K$13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vidéo'!$L$2:$L$13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vidéo'!$M$2:$M$13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vidéo'!$N$2:$N$13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vidéo'!$O$2:$O$13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vidéo'!$P$2:$P$13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vidéo'!$B$2:$B$13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vidéo'!$C$2:$C$13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vidéo'!$D$2:$D$13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vidéo'!$E$2:$E$13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vidéo'!$F$2:$F$13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vidéo'!$G$2:$G$13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vidéo'!$H$2:$H$13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vidéo'!$I$2:$I$13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vidéo'!$J$2:$J$13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vidéo'!$K$2:$K$13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vidéo'!$L$2:$L$13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vidéo'!$M$2:$M$13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vidéo'!$N$2:$N$13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vidéo'!$O$2:$O$13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vidéo'!$P$2:$P$13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heure'!$A$2:$A$85</f>
            </numRef>
          </cat>
          <val>
            <numRef>
              <f>'Heure par heure'!$C$2:$C$85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heure'!$A$2:$A$85</f>
            </numRef>
          </cat>
          <val>
            <numRef>
              <f>'Heure par heure'!$D$2:$D$85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heure'!$A$2:$A$85</f>
            </numRef>
          </cat>
          <val>
            <numRef>
              <f>'Heure par heure'!$E$2:$E$85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heure'!$A$2:$A$85</f>
            </numRef>
          </cat>
          <val>
            <numRef>
              <f>'Heure par heure'!$F$2:$F$85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heure'!$A$2:$A$85</f>
            </numRef>
          </cat>
          <val>
            <numRef>
              <f>'Heure par heure'!$G$2:$G$85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heure'!$A$2:$A$85</f>
            </numRef>
          </cat>
          <val>
            <numRef>
              <f>'Heure par heure'!$H$2:$H$85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heure'!$A$2:$A$85</f>
            </numRef>
          </cat>
          <val>
            <numRef>
              <f>'Heure par heure'!$I$2:$I$85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heure'!$A$2:$A$85</f>
            </numRef>
          </cat>
          <val>
            <numRef>
              <f>'Heure par heure'!$J$2:$J$85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heure'!$A$2:$A$85</f>
            </numRef>
          </cat>
          <val>
            <numRef>
              <f>'Heure par heure'!$K$2:$K$85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heure'!$A$2:$A$85</f>
            </numRef>
          </cat>
          <val>
            <numRef>
              <f>'Heure par heure'!$L$2:$L$85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heure'!$A$2:$A$85</f>
            </numRef>
          </cat>
          <val>
            <numRef>
              <f>'Heure par heure'!$B$2:$B$85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heure'!$A$2:$A$85</f>
            </numRef>
          </cat>
          <val>
            <numRef>
              <f>'Heure par heure'!$M$2:$M$85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heure'!$A$2:$A$85</f>
            </numRef>
          </cat>
          <val>
            <numRef>
              <f>'Vues gagnées par heure'!$B$2:$B$85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heure'!$A$2:$A$85</f>
            </numRef>
          </cat>
          <val>
            <numRef>
              <f>'Vues gagnées par heure'!$C$2:$C$85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heure'!$A$2:$A$85</f>
            </numRef>
          </cat>
          <val>
            <numRef>
              <f>'Vues gagnées par heure'!$D$2:$D$85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heure'!$A$2:$A$85</f>
            </numRef>
          </cat>
          <val>
            <numRef>
              <f>'Vues gagnées par heure'!$E$2:$E$85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heure'!$A$2:$A$85</f>
            </numRef>
          </cat>
          <val>
            <numRef>
              <f>'Vues gagnées par heure'!$F$2:$F$85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heure'!$A$2:$A$85</f>
            </numRef>
          </cat>
          <val>
            <numRef>
              <f>'Vues gagnées par heure'!$G$2:$G$85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heure'!$A$2:$A$85</f>
            </numRef>
          </cat>
          <val>
            <numRef>
              <f>'Vues gagnées par heure'!$H$2:$H$85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heure'!$A$2:$A$85</f>
            </numRef>
          </cat>
          <val>
            <numRef>
              <f>'Vues gagnées par heure'!$I$2:$I$85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heure'!$A$2:$A$85</f>
            </numRef>
          </cat>
          <val>
            <numRef>
              <f>'Vues gagnées par heure'!$J$2:$J$85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heure'!$A$2:$A$85</f>
            </numRef>
          </cat>
          <val>
            <numRef>
              <f>'Vues gagnées par heure'!$K$2:$K$85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87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2bYjllOT/" TargetMode="External" Id="rId1" /><Relationship Type="http://schemas.openxmlformats.org/officeDocument/2006/relationships/hyperlink" Target="https://www.instagram.com/reel/DetoG3RDRGR/" TargetMode="External" Id="rId2" /><Relationship Type="http://schemas.openxmlformats.org/officeDocument/2006/relationships/hyperlink" Target="https://www.instagram.com/reel/DeuORmrje2X/" TargetMode="External" Id="rId3" /><Relationship Type="http://schemas.openxmlformats.org/officeDocument/2006/relationships/hyperlink" Target="https://www.instagram.com/reel/Dev7vAwiHPF/" TargetMode="External" Id="rId4" /><Relationship Type="http://schemas.openxmlformats.org/officeDocument/2006/relationships/hyperlink" Target="https://www.instagram.com/reel/DewXqdggjen/" TargetMode="External" Id="rId5" /><Relationship Type="http://schemas.openxmlformats.org/officeDocument/2006/relationships/hyperlink" Target="https://www.instagram.com/reel/DewzPEDkwDC/" TargetMode="External" Id="rId6" /><Relationship Type="http://schemas.openxmlformats.org/officeDocument/2006/relationships/hyperlink" Target="https://www.instagram.com/reel/Dey8pqJjxZe/" TargetMode="External" Id="rId7" /><Relationship Type="http://schemas.openxmlformats.org/officeDocument/2006/relationships/hyperlink" Target="https://www.instagram.com/reel/De4IrjoAfMV/" TargetMode="External" Id="rId8" /><Relationship Type="http://schemas.openxmlformats.org/officeDocument/2006/relationships/hyperlink" Target="https://www.instagram.com/reel/De4SjlaiLAP/" TargetMode="External" Id="rId9" /><Relationship Type="http://schemas.openxmlformats.org/officeDocument/2006/relationships/hyperlink" Target="https://www.instagram.com/reel/De4wFkgEjfv/" TargetMode="External" Id="rId10" /><Relationship Type="http://schemas.openxmlformats.org/officeDocument/2006/relationships/hyperlink" Target="https://www.instagram.com/reel/De63hUGjyxb/" TargetMode="External" Id="rId11" /><Relationship Type="http://schemas.openxmlformats.org/officeDocument/2006/relationships/hyperlink" Target="https://www.instagram.com/reel/De63r8EkQ6Y/" TargetMode="External" Id="rId12" /><Relationship Type="http://schemas.openxmlformats.org/officeDocument/2006/relationships/hyperlink" Target="https://www.instagram.com/reel/De7PS5wCqiN/" TargetMode="External" Id="rId13" /><Relationship Type="http://schemas.openxmlformats.org/officeDocument/2006/relationships/hyperlink" Target="https://www.instagram.com/reel/De_SOGKACX-/" TargetMode="External" Id="rId14" /><Relationship Type="http://schemas.openxmlformats.org/officeDocument/2006/relationships/hyperlink" Target="https://www.instagram.com/reel/DfEhKWcjNRz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1860</v>
      </c>
      <c r="E13" s="3">
        <f>IF(ROW()=2,D13,D13-D12)</f>
        <v/>
      </c>
      <c r="F13" s="3" t="n">
        <v>107</v>
      </c>
      <c r="G13" s="3" t="n">
        <v>115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1</v>
      </c>
      <c r="M13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17:59</t>
        </is>
      </c>
      <c r="B2" s="2" t="inlineStr">
        <is>
          <t>📖 Il était une fois des agriculteurs en colèr</t>
        </is>
      </c>
      <c r="C2" s="4" t="inlineStr">
        <is>
          <t>ouvrir</t>
        </is>
      </c>
      <c r="D2" s="3" t="n">
        <v>79</v>
      </c>
      <c r="E2" s="3" t="n">
        <v>71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2026-10-20 10:33</t>
        </is>
      </c>
      <c r="B3" s="2" t="inlineStr">
        <is>
          <t>Couvre-feux, manifs « encadrées, voire interd</t>
        </is>
      </c>
      <c r="C3" s="4" t="inlineStr">
        <is>
          <t>ouvrir</t>
        </is>
      </c>
      <c r="D3" s="3" t="n">
        <v>158</v>
      </c>
      <c r="E3" s="3" t="n">
        <v>141</v>
      </c>
      <c r="F3" s="3" t="n">
        <v>2</v>
      </c>
      <c r="G3" s="3" t="n">
        <v>0</v>
      </c>
      <c r="H3" s="3" t="n">
        <v>0</v>
      </c>
      <c r="I3" s="3" t="n">
        <v>2</v>
      </c>
      <c r="J3" s="3" t="n">
        <v>5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16:07</t>
        </is>
      </c>
      <c r="B4" s="2" t="inlineStr">
        <is>
          <t>Couvre-feu pour les ados, 5,6 milliards envol</t>
        </is>
      </c>
      <c r="C4" s="4" t="inlineStr">
        <is>
          <t>ouvrir</t>
        </is>
      </c>
      <c r="D4" s="3" t="n">
        <v>108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2026-10-21 08:03</t>
        </is>
      </c>
      <c r="B5" s="2" t="inlineStr">
        <is>
          <t>Les syndicats de salariés auraient-ils dû êtr</t>
        </is>
      </c>
      <c r="C5" s="4" t="inlineStr">
        <is>
          <t>ouvrir</t>
        </is>
      </c>
      <c r="D5" s="3" t="n">
        <v>105</v>
      </c>
      <c r="E5" s="3" t="n">
        <v>87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12:07</t>
        </is>
      </c>
      <c r="B6" s="2" t="inlineStr">
        <is>
          <t>À toi de juger : taxer les profits du pétrole</t>
        </is>
      </c>
      <c r="C6" s="4" t="inlineStr">
        <is>
          <t>ouvrir</t>
        </is>
      </c>
      <c r="D6" s="3" t="n">
        <v>128</v>
      </c>
      <c r="E6" s="3" t="n">
        <v>106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16:08</t>
        </is>
      </c>
      <c r="B7" s="2" t="inlineStr">
        <is>
          <t>Gel des pensions : oui ou non ? Réponds en co</t>
        </is>
      </c>
      <c r="C7" s="4" t="inlineStr">
        <is>
          <t>ouvrir</t>
        </is>
      </c>
      <c r="D7" s="3" t="n">
        <v>114</v>
      </c>
      <c r="E7" s="3" t="n">
        <v>108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2026-10-22 12:09</t>
        </is>
      </c>
      <c r="B8" s="2" t="inlineStr">
        <is>
          <t>Couper les réseaux sociaux pendant les émeute</t>
        </is>
      </c>
      <c r="C8" s="4" t="inlineStr">
        <is>
          <t>ouvrir</t>
        </is>
      </c>
      <c r="D8" s="3" t="n">
        <v>76</v>
      </c>
      <c r="E8" s="3" t="n">
        <v>70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2026-10-24 12:30</t>
        </is>
      </c>
      <c r="B9" s="2" t="inlineStr">
        <is>
          <t>À toi de juger : il faut une enquête indépend</t>
        </is>
      </c>
      <c r="C9" s="4" t="inlineStr">
        <is>
          <t>ouvrir</t>
        </is>
      </c>
      <c r="D9" s="3" t="n">
        <v>133</v>
      </c>
      <c r="E9" s="3" t="n">
        <v>117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2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13:56</t>
        </is>
      </c>
      <c r="B10" s="2" t="inlineStr">
        <is>
          <t>« Oui, nous avons perdu le contrôle. » Le min</t>
        </is>
      </c>
      <c r="C10" s="4" t="inlineStr">
        <is>
          <t>ouvrir</t>
        </is>
      </c>
      <c r="D10" s="3" t="n">
        <v>244</v>
      </c>
      <c r="E10" s="3" t="n">
        <v>225</v>
      </c>
      <c r="F10" s="3" t="n">
        <v>4</v>
      </c>
      <c r="G10" s="3" t="n">
        <v>0</v>
      </c>
      <c r="H10" s="3" t="n">
        <v>0</v>
      </c>
      <c r="I10" s="3" t="n">
        <v>1</v>
      </c>
      <c r="J10" s="3" t="n">
        <v>5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18:14</t>
        </is>
      </c>
      <c r="B11" s="2" t="inlineStr">
        <is>
          <t xml:space="preserve">Cinq infos de la semaine, une même logique : </t>
        </is>
      </c>
      <c r="C11" s="4" t="inlineStr">
        <is>
          <t>ouvrir</t>
        </is>
      </c>
      <c r="D11" s="3" t="n">
        <v>134</v>
      </c>
      <c r="E11" s="3" t="n">
        <v>115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2026-10-25 13:58</t>
        </is>
      </c>
      <c r="B12" s="2" t="inlineStr">
        <is>
          <t xml:space="preserve">Des millions publics promis. 244 salariés de </t>
        </is>
      </c>
      <c r="C12" s="4" t="inlineStr">
        <is>
          <t>ouvrir</t>
        </is>
      </c>
      <c r="D12" s="3" t="n">
        <v>114</v>
      </c>
      <c r="E12" s="3" t="n">
        <v>102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13:59</t>
        </is>
      </c>
      <c r="B13" s="2" t="inlineStr">
        <is>
          <t>Vendredi, Macron au concert de Céline Dion. S</t>
        </is>
      </c>
      <c r="C13" s="4" t="inlineStr">
        <is>
          <t>ouvrir</t>
        </is>
      </c>
      <c r="D13" s="3" t="n">
        <v>130</v>
      </c>
      <c r="E13" s="3" t="n">
        <v>110</v>
      </c>
      <c r="F13" s="3" t="n">
        <v>1</v>
      </c>
      <c r="G13" s="3" t="n">
        <v>0</v>
      </c>
      <c r="H13" s="3" t="n">
        <v>0</v>
      </c>
      <c r="I13" s="3" t="n">
        <v>0</v>
      </c>
      <c r="J13" s="3" t="n">
        <v>1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17:26</t>
        </is>
      </c>
      <c r="B14" s="2" t="inlineStr">
        <is>
          <t>2 513 gardes à vue et 67 incarcérations après</t>
        </is>
      </c>
      <c r="C14" s="4" t="inlineStr">
        <is>
          <t>ouvrir</t>
        </is>
      </c>
      <c r="D14" s="3" t="n">
        <v>118</v>
      </c>
      <c r="E14" s="3" t="n">
        <v>106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2026-10-27 07:08</t>
        </is>
      </c>
      <c r="B15" s="2" t="inlineStr">
        <is>
          <t xml:space="preserve">54 milliards d'efforts demandés aux Français </t>
        </is>
      </c>
      <c r="C15" s="4" t="inlineStr">
        <is>
          <t>ouvrir</t>
        </is>
      </c>
      <c r="D15" s="3" t="n">
        <v>107</v>
      </c>
      <c r="E15" s="3" t="n">
        <v>99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2026-10-29 07:55</t>
        </is>
      </c>
      <c r="B16" s="2" t="inlineStr">
        <is>
          <t xml:space="preserve">Macron demande aux branches de négocier : 52 </t>
        </is>
      </c>
      <c r="C16" s="4" t="inlineStr">
        <is>
          <t>ouvrir</t>
        </is>
      </c>
      <c r="D16" s="3" t="n">
        <v>112</v>
      </c>
      <c r="E16" s="3" t="n">
        <v>105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73</v>
      </c>
      <c r="C4" s="3" t="n">
        <v>63</v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79</v>
      </c>
      <c r="C5" s="3" t="n">
        <v>157</v>
      </c>
      <c r="D5" s="3" t="n">
        <v>105</v>
      </c>
      <c r="E5" s="3" t="n">
        <v>80</v>
      </c>
      <c r="F5" s="3" t="n">
        <v>69</v>
      </c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79</v>
      </c>
      <c r="C6" s="3" t="n">
        <v>158</v>
      </c>
      <c r="D6" s="3" t="n">
        <v>106</v>
      </c>
      <c r="E6" s="3" t="n">
        <v>105</v>
      </c>
      <c r="F6" s="3" t="n">
        <v>128</v>
      </c>
      <c r="G6" s="3" t="n">
        <v>113</v>
      </c>
      <c r="H6" s="3" t="n">
        <v>32</v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79</v>
      </c>
      <c r="C7" s="3" t="n">
        <v>158</v>
      </c>
      <c r="D7" s="3" t="n">
        <v>106</v>
      </c>
      <c r="E7" s="3" t="n">
        <v>105</v>
      </c>
      <c r="F7" s="3" t="n">
        <v>128</v>
      </c>
      <c r="G7" s="3" t="n">
        <v>113</v>
      </c>
      <c r="H7" s="3" t="n">
        <v>74</v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79</v>
      </c>
      <c r="C8" s="3" t="n">
        <v>158</v>
      </c>
      <c r="D8" s="3" t="n">
        <v>108</v>
      </c>
      <c r="E8" s="3" t="n">
        <v>105</v>
      </c>
      <c r="F8" s="3" t="n">
        <v>128</v>
      </c>
      <c r="G8" s="3" t="n">
        <v>114</v>
      </c>
      <c r="H8" s="3" t="n">
        <v>76</v>
      </c>
      <c r="I8" s="3" t="n">
        <v>119</v>
      </c>
      <c r="J8" s="3" t="n">
        <v>6</v>
      </c>
      <c r="K8" s="3" t="n"/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79</v>
      </c>
      <c r="C9" s="3" t="n">
        <v>158</v>
      </c>
      <c r="D9" s="3" t="n">
        <v>108</v>
      </c>
      <c r="E9" s="3" t="n">
        <v>105</v>
      </c>
      <c r="F9" s="3" t="n">
        <v>128</v>
      </c>
      <c r="G9" s="3" t="n">
        <v>114</v>
      </c>
      <c r="H9" s="3" t="n">
        <v>76</v>
      </c>
      <c r="I9" s="3" t="n">
        <v>133</v>
      </c>
      <c r="J9" s="3" t="n">
        <v>241</v>
      </c>
      <c r="K9" s="3" t="n">
        <v>134</v>
      </c>
      <c r="L9" s="3" t="n">
        <v>10</v>
      </c>
      <c r="M9" s="3" t="n">
        <v>13</v>
      </c>
      <c r="N9" s="3" t="n"/>
      <c r="O9" s="3" t="n"/>
      <c r="P9" s="3" t="n"/>
    </row>
    <row r="10">
      <c r="A10" s="2" t="inlineStr">
        <is>
          <t>2026-10-26</t>
        </is>
      </c>
      <c r="B10" s="3" t="n">
        <v>79</v>
      </c>
      <c r="C10" s="3" t="n">
        <v>158</v>
      </c>
      <c r="D10" s="3" t="n">
        <v>108</v>
      </c>
      <c r="E10" s="3" t="n">
        <v>105</v>
      </c>
      <c r="F10" s="3" t="n">
        <v>128</v>
      </c>
      <c r="G10" s="3" t="n">
        <v>114</v>
      </c>
      <c r="H10" s="3" t="n">
        <v>76</v>
      </c>
      <c r="I10" s="3" t="n">
        <v>133</v>
      </c>
      <c r="J10" s="3" t="n">
        <v>244</v>
      </c>
      <c r="K10" s="3" t="n">
        <v>134</v>
      </c>
      <c r="L10" s="3" t="n">
        <v>114</v>
      </c>
      <c r="M10" s="3" t="n">
        <v>130</v>
      </c>
      <c r="N10" s="3" t="n">
        <v>117</v>
      </c>
      <c r="O10" s="3" t="n"/>
      <c r="P10" s="3" t="n"/>
    </row>
    <row r="11">
      <c r="A11" s="2" t="inlineStr">
        <is>
          <t>2026-10-27</t>
        </is>
      </c>
      <c r="B11" s="3" t="n">
        <v>79</v>
      </c>
      <c r="C11" s="3" t="n">
        <v>158</v>
      </c>
      <c r="D11" s="3" t="n">
        <v>108</v>
      </c>
      <c r="E11" s="3" t="n">
        <v>105</v>
      </c>
      <c r="F11" s="3" t="n">
        <v>128</v>
      </c>
      <c r="G11" s="3" t="n">
        <v>114</v>
      </c>
      <c r="H11" s="3" t="n">
        <v>76</v>
      </c>
      <c r="I11" s="3" t="n">
        <v>133</v>
      </c>
      <c r="J11" s="3" t="n">
        <v>244</v>
      </c>
      <c r="K11" s="3" t="n">
        <v>134</v>
      </c>
      <c r="L11" s="3" t="n">
        <v>114</v>
      </c>
      <c r="M11" s="3" t="n">
        <v>130</v>
      </c>
      <c r="N11" s="3" t="n">
        <v>118</v>
      </c>
      <c r="O11" s="3" t="n">
        <v>92</v>
      </c>
      <c r="P11" s="3" t="n"/>
    </row>
    <row r="12">
      <c r="A12" s="2" t="inlineStr">
        <is>
          <t>2026-10-28</t>
        </is>
      </c>
      <c r="B12" s="3" t="n">
        <v>79</v>
      </c>
      <c r="C12" s="3" t="n">
        <v>158</v>
      </c>
      <c r="D12" s="3" t="n">
        <v>108</v>
      </c>
      <c r="E12" s="3" t="n">
        <v>105</v>
      </c>
      <c r="F12" s="3" t="n">
        <v>128</v>
      </c>
      <c r="G12" s="3" t="n">
        <v>114</v>
      </c>
      <c r="H12" s="3" t="n">
        <v>76</v>
      </c>
      <c r="I12" s="3" t="n">
        <v>133</v>
      </c>
      <c r="J12" s="3" t="n">
        <v>244</v>
      </c>
      <c r="K12" s="3" t="n">
        <v>134</v>
      </c>
      <c r="L12" s="3" t="n">
        <v>114</v>
      </c>
      <c r="M12" s="3" t="n">
        <v>130</v>
      </c>
      <c r="N12" s="3" t="n">
        <v>118</v>
      </c>
      <c r="O12" s="3" t="n">
        <v>107</v>
      </c>
      <c r="P12" s="3" t="n"/>
    </row>
    <row r="13">
      <c r="A13" s="2" t="inlineStr">
        <is>
          <t>2026-10-29</t>
        </is>
      </c>
      <c r="B13" s="3" t="n">
        <v>79</v>
      </c>
      <c r="C13" s="3" t="n">
        <v>158</v>
      </c>
      <c r="D13" s="3" t="n">
        <v>108</v>
      </c>
      <c r="E13" s="3" t="n">
        <v>105</v>
      </c>
      <c r="F13" s="3" t="n">
        <v>128</v>
      </c>
      <c r="G13" s="3" t="n">
        <v>114</v>
      </c>
      <c r="H13" s="3" t="n">
        <v>76</v>
      </c>
      <c r="I13" s="3" t="n">
        <v>133</v>
      </c>
      <c r="J13" s="3" t="n">
        <v>244</v>
      </c>
      <c r="K13" s="3" t="n">
        <v>134</v>
      </c>
      <c r="L13" s="3" t="n">
        <v>114</v>
      </c>
      <c r="M13" s="3" t="n">
        <v>130</v>
      </c>
      <c r="N13" s="3" t="n">
        <v>118</v>
      </c>
      <c r="O13" s="3" t="n">
        <v>107</v>
      </c>
      <c r="P13" s="3" t="n">
        <v>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SUM(B13:P13)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  <row r="78">
      <c r="A78" s="2" t="inlineStr">
        <is>
          <t>2026-10-29 11:00</t>
        </is>
      </c>
      <c r="B78" s="3" t="n">
        <v>7</v>
      </c>
      <c r="C78" s="3" t="n">
        <v>114</v>
      </c>
      <c r="D78" s="3" t="n">
        <v>76</v>
      </c>
      <c r="E78" s="3" t="n">
        <v>133</v>
      </c>
      <c r="F78" s="3" t="n">
        <v>244</v>
      </c>
      <c r="G78" s="3" t="n">
        <v>134</v>
      </c>
      <c r="H78" s="3" t="n">
        <v>114</v>
      </c>
      <c r="I78" s="3" t="n">
        <v>130</v>
      </c>
      <c r="J78" s="3" t="n">
        <v>118</v>
      </c>
      <c r="K78" s="3" t="n">
        <v>107</v>
      </c>
      <c r="L78" s="3" t="n">
        <v>110</v>
      </c>
      <c r="M78" s="3">
        <f>SUM(C78:L78)</f>
        <v/>
      </c>
    </row>
    <row r="79">
      <c r="A79" s="2" t="inlineStr">
        <is>
          <t>2026-10-29 12:00</t>
        </is>
      </c>
      <c r="B79" s="3" t="n">
        <v>7</v>
      </c>
      <c r="C79" s="3" t="n">
        <v>114</v>
      </c>
      <c r="D79" s="3" t="n">
        <v>76</v>
      </c>
      <c r="E79" s="3" t="n">
        <v>133</v>
      </c>
      <c r="F79" s="3" t="n">
        <v>244</v>
      </c>
      <c r="G79" s="3" t="n">
        <v>134</v>
      </c>
      <c r="H79" s="3" t="n">
        <v>114</v>
      </c>
      <c r="I79" s="3" t="n">
        <v>130</v>
      </c>
      <c r="J79" s="3" t="n">
        <v>118</v>
      </c>
      <c r="K79" s="3" t="n">
        <v>107</v>
      </c>
      <c r="L79" s="3" t="n">
        <v>110</v>
      </c>
      <c r="M79" s="3">
        <f>SUM(C79:L79)</f>
        <v/>
      </c>
    </row>
    <row r="80">
      <c r="A80" s="2" t="inlineStr">
        <is>
          <t>2026-10-29 13:00</t>
        </is>
      </c>
      <c r="B80" s="3" t="n">
        <v>7</v>
      </c>
      <c r="C80" s="3" t="n">
        <v>114</v>
      </c>
      <c r="D80" s="3" t="n">
        <v>76</v>
      </c>
      <c r="E80" s="3" t="n">
        <v>133</v>
      </c>
      <c r="F80" s="3" t="n">
        <v>244</v>
      </c>
      <c r="G80" s="3" t="n">
        <v>134</v>
      </c>
      <c r="H80" s="3" t="n">
        <v>114</v>
      </c>
      <c r="I80" s="3" t="n">
        <v>130</v>
      </c>
      <c r="J80" s="3" t="n">
        <v>118</v>
      </c>
      <c r="K80" s="3" t="n">
        <v>107</v>
      </c>
      <c r="L80" s="3" t="n">
        <v>111</v>
      </c>
      <c r="M80" s="3">
        <f>SUM(C80:L80)</f>
        <v/>
      </c>
    </row>
    <row r="81">
      <c r="A81" s="2" t="inlineStr">
        <is>
          <t>2026-10-29 14:00</t>
        </is>
      </c>
      <c r="B81" s="3" t="n">
        <v>7</v>
      </c>
      <c r="C81" s="3" t="n">
        <v>114</v>
      </c>
      <c r="D81" s="3" t="n">
        <v>76</v>
      </c>
      <c r="E81" s="3" t="n">
        <v>133</v>
      </c>
      <c r="F81" s="3" t="n">
        <v>244</v>
      </c>
      <c r="G81" s="3" t="n">
        <v>134</v>
      </c>
      <c r="H81" s="3" t="n">
        <v>114</v>
      </c>
      <c r="I81" s="3" t="n">
        <v>130</v>
      </c>
      <c r="J81" s="3" t="n">
        <v>118</v>
      </c>
      <c r="K81" s="3" t="n">
        <v>107</v>
      </c>
      <c r="L81" s="3" t="n">
        <v>111</v>
      </c>
      <c r="M81" s="3">
        <f>SUM(C81:L81)</f>
        <v/>
      </c>
    </row>
    <row r="82">
      <c r="A82" s="2" t="inlineStr">
        <is>
          <t>2026-10-29 15:00</t>
        </is>
      </c>
      <c r="B82" s="3" t="n">
        <v>7</v>
      </c>
      <c r="C82" s="3" t="n">
        <v>114</v>
      </c>
      <c r="D82" s="3" t="n">
        <v>76</v>
      </c>
      <c r="E82" s="3" t="n">
        <v>133</v>
      </c>
      <c r="F82" s="3" t="n">
        <v>244</v>
      </c>
      <c r="G82" s="3" t="n">
        <v>134</v>
      </c>
      <c r="H82" s="3" t="n">
        <v>114</v>
      </c>
      <c r="I82" s="3" t="n">
        <v>130</v>
      </c>
      <c r="J82" s="3" t="n">
        <v>118</v>
      </c>
      <c r="K82" s="3" t="n">
        <v>107</v>
      </c>
      <c r="L82" s="3" t="n">
        <v>111</v>
      </c>
      <c r="M82" s="3">
        <f>SUM(C82:L82)</f>
        <v/>
      </c>
    </row>
    <row r="83">
      <c r="A83" s="2" t="inlineStr">
        <is>
          <t>2026-10-29 16:00</t>
        </is>
      </c>
      <c r="B83" s="3" t="n">
        <v>7</v>
      </c>
      <c r="C83" s="3" t="n">
        <v>114</v>
      </c>
      <c r="D83" s="3" t="n">
        <v>76</v>
      </c>
      <c r="E83" s="3" t="n">
        <v>133</v>
      </c>
      <c r="F83" s="3" t="n">
        <v>244</v>
      </c>
      <c r="G83" s="3" t="n">
        <v>134</v>
      </c>
      <c r="H83" s="3" t="n">
        <v>114</v>
      </c>
      <c r="I83" s="3" t="n">
        <v>130</v>
      </c>
      <c r="J83" s="3" t="n">
        <v>118</v>
      </c>
      <c r="K83" s="3" t="n">
        <v>107</v>
      </c>
      <c r="L83" s="3" t="n">
        <v>112</v>
      </c>
      <c r="M83" s="3">
        <f>SUM(C83:L83)</f>
        <v/>
      </c>
    </row>
    <row r="84">
      <c r="A84" s="2" t="inlineStr">
        <is>
          <t>2026-10-29 17:00</t>
        </is>
      </c>
      <c r="B84" s="3" t="n">
        <v>7</v>
      </c>
      <c r="C84" s="3" t="n">
        <v>114</v>
      </c>
      <c r="D84" s="3" t="n">
        <v>76</v>
      </c>
      <c r="E84" s="3" t="n">
        <v>133</v>
      </c>
      <c r="F84" s="3" t="n">
        <v>244</v>
      </c>
      <c r="G84" s="3" t="n">
        <v>134</v>
      </c>
      <c r="H84" s="3" t="n">
        <v>114</v>
      </c>
      <c r="I84" s="3" t="n">
        <v>130</v>
      </c>
      <c r="J84" s="3" t="n">
        <v>118</v>
      </c>
      <c r="K84" s="3" t="n">
        <v>107</v>
      </c>
      <c r="L84" s="3" t="n">
        <v>112</v>
      </c>
      <c r="M84" s="3">
        <f>SUM(C84:L84)</f>
        <v/>
      </c>
    </row>
    <row r="85">
      <c r="A85" s="2" t="inlineStr">
        <is>
          <t>2026-10-29 18:00</t>
        </is>
      </c>
      <c r="B85" s="3" t="n">
        <v>7</v>
      </c>
      <c r="C85" s="3" t="n">
        <v>114</v>
      </c>
      <c r="D85" s="3" t="n">
        <v>76</v>
      </c>
      <c r="E85" s="3" t="n">
        <v>133</v>
      </c>
      <c r="F85" s="3" t="n">
        <v>244</v>
      </c>
      <c r="G85" s="3" t="n">
        <v>134</v>
      </c>
      <c r="H85" s="3" t="n">
        <v>114</v>
      </c>
      <c r="I85" s="3" t="n">
        <v>130</v>
      </c>
      <c r="J85" s="3" t="n">
        <v>118</v>
      </c>
      <c r="K85" s="3" t="n">
        <v>107</v>
      </c>
      <c r="L85" s="3" t="n">
        <v>112</v>
      </c>
      <c r="M85" s="3">
        <f>SUM(C85:L85)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IF('Heure par heure'!G78="","",'Heure par heure'!G78-N('Heure par heure'!G77))</f>
        <v/>
      </c>
      <c r="G78" s="3">
        <f>IF('Heure par heure'!H78="","",'Heure par heure'!H78-N('Heure par heure'!H77))</f>
        <v/>
      </c>
      <c r="H78" s="3">
        <f>IF('Heure par heure'!I78="","",'Heure par heure'!I78-N('Heure par heure'!I77))</f>
        <v/>
      </c>
      <c r="I78" s="3">
        <f>IF('Heure par heure'!J78="","",'Heure par heure'!J78-N('Heure par heure'!J77))</f>
        <v/>
      </c>
      <c r="J78" s="3">
        <f>IF('Heure par heure'!K78="","",'Heure par heure'!K78-N('Heure par heure'!K77))</f>
        <v/>
      </c>
      <c r="K78" s="3">
        <f>IF('Heure par heure'!L78="","",'Heure par heure'!L78-N('Heure par heure'!L77))</f>
        <v/>
      </c>
      <c r="L78" s="3">
        <f>SUM(B78:K78)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IF('Heure par heure'!G79="","",'Heure par heure'!G79-N('Heure par heure'!G78))</f>
        <v/>
      </c>
      <c r="G79" s="3">
        <f>IF('Heure par heure'!H79="","",'Heure par heure'!H79-N('Heure par heure'!H78))</f>
        <v/>
      </c>
      <c r="H79" s="3">
        <f>IF('Heure par heure'!I79="","",'Heure par heure'!I79-N('Heure par heure'!I78))</f>
        <v/>
      </c>
      <c r="I79" s="3">
        <f>IF('Heure par heure'!J79="","",'Heure par heure'!J79-N('Heure par heure'!J78))</f>
        <v/>
      </c>
      <c r="J79" s="3">
        <f>IF('Heure par heure'!K79="","",'Heure par heure'!K79-N('Heure par heure'!K78))</f>
        <v/>
      </c>
      <c r="K79" s="3">
        <f>IF('Heure par heure'!L79="","",'Heure par heure'!L79-N('Heure par heure'!L78))</f>
        <v/>
      </c>
      <c r="L79" s="3">
        <f>SUM(B79:K79)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IF('Heure par heure'!G80="","",'Heure par heure'!G80-N('Heure par heure'!G79))</f>
        <v/>
      </c>
      <c r="G80" s="3">
        <f>IF('Heure par heure'!H80="","",'Heure par heure'!H80-N('Heure par heure'!H79))</f>
        <v/>
      </c>
      <c r="H80" s="3">
        <f>IF('Heure par heure'!I80="","",'Heure par heure'!I80-N('Heure par heure'!I79))</f>
        <v/>
      </c>
      <c r="I80" s="3">
        <f>IF('Heure par heure'!J80="","",'Heure par heure'!J80-N('Heure par heure'!J79))</f>
        <v/>
      </c>
      <c r="J80" s="3">
        <f>IF('Heure par heure'!K80="","",'Heure par heure'!K80-N('Heure par heure'!K79))</f>
        <v/>
      </c>
      <c r="K80" s="3">
        <f>IF('Heure par heure'!L80="","",'Heure par heure'!L80-N('Heure par heure'!L79))</f>
        <v/>
      </c>
      <c r="L80" s="3">
        <f>SUM(B80:K80)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IF('Heure par heure'!G81="","",'Heure par heure'!G81-N('Heure par heure'!G80))</f>
        <v/>
      </c>
      <c r="G81" s="3">
        <f>IF('Heure par heure'!H81="","",'Heure par heure'!H81-N('Heure par heure'!H80))</f>
        <v/>
      </c>
      <c r="H81" s="3">
        <f>IF('Heure par heure'!I81="","",'Heure par heure'!I81-N('Heure par heure'!I80))</f>
        <v/>
      </c>
      <c r="I81" s="3">
        <f>IF('Heure par heure'!J81="","",'Heure par heure'!J81-N('Heure par heure'!J80))</f>
        <v/>
      </c>
      <c r="J81" s="3">
        <f>IF('Heure par heure'!K81="","",'Heure par heure'!K81-N('Heure par heure'!K80))</f>
        <v/>
      </c>
      <c r="K81" s="3">
        <f>IF('Heure par heure'!L81="","",'Heure par heure'!L81-N('Heure par heure'!L80))</f>
        <v/>
      </c>
      <c r="L81" s="3">
        <f>SUM(B81:K81)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IF('Heure par heure'!G82="","",'Heure par heure'!G82-N('Heure par heure'!G81))</f>
        <v/>
      </c>
      <c r="G82" s="3">
        <f>IF('Heure par heure'!H82="","",'Heure par heure'!H82-N('Heure par heure'!H81))</f>
        <v/>
      </c>
      <c r="H82" s="3">
        <f>IF('Heure par heure'!I82="","",'Heure par heure'!I82-N('Heure par heure'!I81))</f>
        <v/>
      </c>
      <c r="I82" s="3">
        <f>IF('Heure par heure'!J82="","",'Heure par heure'!J82-N('Heure par heure'!J81))</f>
        <v/>
      </c>
      <c r="J82" s="3">
        <f>IF('Heure par heure'!K82="","",'Heure par heure'!K82-N('Heure par heure'!K81))</f>
        <v/>
      </c>
      <c r="K82" s="3">
        <f>IF('Heure par heure'!L82="","",'Heure par heure'!L82-N('Heure par heure'!L81))</f>
        <v/>
      </c>
      <c r="L82" s="3">
        <f>SUM(B82:K82)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IF('Heure par heure'!G83="","",'Heure par heure'!G83-N('Heure par heure'!G82))</f>
        <v/>
      </c>
      <c r="G83" s="3">
        <f>IF('Heure par heure'!H83="","",'Heure par heure'!H83-N('Heure par heure'!H82))</f>
        <v/>
      </c>
      <c r="H83" s="3">
        <f>IF('Heure par heure'!I83="","",'Heure par heure'!I83-N('Heure par heure'!I82))</f>
        <v/>
      </c>
      <c r="I83" s="3">
        <f>IF('Heure par heure'!J83="","",'Heure par heure'!J83-N('Heure par heure'!J82))</f>
        <v/>
      </c>
      <c r="J83" s="3">
        <f>IF('Heure par heure'!K83="","",'Heure par heure'!K83-N('Heure par heure'!K82))</f>
        <v/>
      </c>
      <c r="K83" s="3">
        <f>IF('Heure par heure'!L83="","",'Heure par heure'!L83-N('Heure par heure'!L82))</f>
        <v/>
      </c>
      <c r="L83" s="3">
        <f>SUM(B83:K83)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IF('Heure par heure'!G84="","",'Heure par heure'!G84-N('Heure par heure'!G83))</f>
        <v/>
      </c>
      <c r="G84" s="3">
        <f>IF('Heure par heure'!H84="","",'Heure par heure'!H84-N('Heure par heure'!H83))</f>
        <v/>
      </c>
      <c r="H84" s="3">
        <f>IF('Heure par heure'!I84="","",'Heure par heure'!I84-N('Heure par heure'!I83))</f>
        <v/>
      </c>
      <c r="I84" s="3">
        <f>IF('Heure par heure'!J84="","",'Heure par heure'!J84-N('Heure par heure'!J83))</f>
        <v/>
      </c>
      <c r="J84" s="3">
        <f>IF('Heure par heure'!K84="","",'Heure par heure'!K84-N('Heure par heure'!K83))</f>
        <v/>
      </c>
      <c r="K84" s="3">
        <f>IF('Heure par heure'!L84="","",'Heure par heure'!L84-N('Heure par heure'!L83))</f>
        <v/>
      </c>
      <c r="L84" s="3">
        <f>SUM(B84:K84)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IF('Heure par heure'!G85="","",'Heure par heure'!G85-N('Heure par heure'!G84))</f>
        <v/>
      </c>
      <c r="G85" s="3">
        <f>IF('Heure par heure'!H85="","",'Heure par heure'!H85-N('Heure par heure'!H84))</f>
        <v/>
      </c>
      <c r="H85" s="3">
        <f>IF('Heure par heure'!I85="","",'Heure par heure'!I85-N('Heure par heure'!I84))</f>
        <v/>
      </c>
      <c r="I85" s="3">
        <f>IF('Heure par heure'!J85="","",'Heure par heure'!J85-N('Heure par heure'!J84))</f>
        <v/>
      </c>
      <c r="J85" s="3">
        <f>IF('Heure par heure'!K85="","",'Heure par heure'!K85-N('Heure par heure'!K84))</f>
        <v/>
      </c>
      <c r="K85" s="3">
        <f>IF('Heure par heure'!L85="","",'Heure par heure'!L85-N('Heure par heure'!L84))</f>
        <v/>
      </c>
      <c r="L85" s="3">
        <f>SUM(B85:K85)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1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2026-10-29T17:41:37Z</dcterms:created>
  <dcterms:modified xsi:type="dcterms:W3CDTF">2026-10-29T17:41:37Z</dcterms:modified>
</cp:coreProperties>
</file>