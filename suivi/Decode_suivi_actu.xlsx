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 par jour" sheetId="1" state="visible" r:id="rId1"/>
    <sheet name="Vidéos" sheetId="2" state="visible" r:id="rId2"/>
    <sheet name="Évolution par vidéo" sheetId="3" state="visible" r:id="rId3"/>
    <sheet name="Vues du jour par vidéo" sheetId="4" state="visible" r:id="rId4"/>
    <sheet name="Stories" sheetId="5" state="visible" r:id="rId5"/>
    <sheet name="À li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jour'!B1</f>
            </strRef>
          </tx>
          <spPr>
            <a:ln w="28000">
              <a:solidFill>
                <a:srgbClr val="E5133A"/>
              </a:solidFill>
              <a:prstDash val="solid"/>
            </a:ln>
          </spPr>
          <marker>
            <symbol val="circle"/>
            <size val="7"/>
            <spPr>
              <a:solidFill>
                <a:srgbClr val="E5133A"/>
              </a:solidFill>
              <a:ln>
                <a:prstDash val="solid"/>
              </a:ln>
            </spPr>
          </marker>
          <cat>
            <numRef>
              <f>'Jour par jour'!$A$2:$A$6</f>
            </numRef>
          </cat>
          <val>
            <numRef>
              <f>'Jour par jour'!$B$2:$B$6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abonnés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jour : vidéos et stories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jour'!E1</f>
            </strRef>
          </tx>
          <spPr>
            <a:solidFill>
              <a:srgbClr val="3D5AFE"/>
            </a:solidFill>
            <a:ln>
              <a:prstDash val="solid"/>
            </a:ln>
          </spPr>
          <cat>
            <numRef>
              <f>'Jour par jour'!$A$2:$A$6</f>
            </numRef>
          </cat>
          <val>
            <numRef>
              <f>'Jour par jour'!$E$2:$E$6</f>
            </numRef>
          </val>
        </ser>
        <ser>
          <idx val="1"/>
          <order val="1"/>
          <tx>
            <strRef>
              <f>'Jour par jour'!L1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'Jour par jour'!$A$2:$A$6</f>
            </numRef>
          </cat>
          <val>
            <numRef>
              <f>'Jour par jour'!$L$2:$L$6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Portée du compte et visites du profil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jour'!F1</f>
            </strRef>
          </tx>
          <spPr>
            <a:ln w="28000">
              <a:solidFill>
                <a:srgbClr val="8E5CFF"/>
              </a:solidFill>
              <a:prstDash val="solid"/>
            </a:ln>
          </spPr>
          <marker>
            <symbol val="circle"/>
            <size val="7"/>
            <spPr>
              <a:solidFill>
                <a:srgbClr val="8E5CFF"/>
              </a:solidFill>
              <a:ln>
                <a:prstDash val="solid"/>
              </a:ln>
            </spPr>
          </marker>
          <cat>
            <numRef>
              <f>'Jour par jour'!$A$2:$A$6</f>
            </numRef>
          </cat>
          <val>
            <numRef>
              <f>'Jour par jour'!$F$2:$F$6</f>
            </numRef>
          </val>
          <smooth val="0"/>
        </ser>
        <ser>
          <idx val="1"/>
          <order val="1"/>
          <tx>
            <strRef>
              <f>'Jour par jour'!H1</f>
            </strRef>
          </tx>
          <spPr>
            <a:ln w="28000">
              <a:solidFill>
                <a:srgbClr val="00B8D4"/>
              </a:solidFill>
              <a:prstDash val="solid"/>
            </a:ln>
          </spPr>
          <marker>
            <symbol val="circle"/>
            <size val="7"/>
            <spPr>
              <a:solidFill>
                <a:srgbClr val="00B8D4"/>
              </a:solidFill>
              <a:ln>
                <a:prstDash val="solid"/>
              </a:ln>
            </spPr>
          </marker>
          <cat>
            <numRef>
              <f>'Jour par jour'!$A$2:$A$6</f>
            </numRef>
          </cat>
          <val>
            <numRef>
              <f>'Jour par jour'!$H$2:$H$6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 gagnés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jour'!C1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'Jour par jour'!$A$2:$A$6</f>
            </numRef>
          </cat>
          <val>
            <numRef>
              <f>'Jour par jour'!$C$2:$C$6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vidéo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'Vidéos'!D1</f>
            </strRef>
          </tx>
          <spPr>
            <a:solidFill>
              <a:srgbClr val="3D5AFE"/>
            </a:solidFill>
            <a:ln>
              <a:prstDash val="solid"/>
            </a:ln>
          </spPr>
          <cat>
            <numRef>
              <f>'Vidéos'!$B$2:$B$16</f>
            </numRef>
          </cat>
          <val>
            <numRef>
              <f>'Vidéos'!$D$2:$D$16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Likes, commentaires, partages, enregistrements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'Vidéos'!F1</f>
            </strRef>
          </tx>
          <spPr>
            <a:solidFill>
              <a:srgbClr val="FF4F81"/>
            </a:solidFill>
            <a:ln>
              <a:prstDash val="solid"/>
            </a:ln>
          </spPr>
          <cat>
            <numRef>
              <f>'Vidéos'!$B$2:$B$16</f>
            </numRef>
          </cat>
          <val>
            <numRef>
              <f>'Vidéos'!$F$2:$F$16</f>
            </numRef>
          </val>
        </ser>
        <ser>
          <idx val="1"/>
          <order val="1"/>
          <tx>
            <strRef>
              <f>'Vidéos'!G1</f>
            </strRef>
          </tx>
          <spPr>
            <a:solidFill>
              <a:srgbClr val="8E5CFF"/>
            </a:solidFill>
            <a:ln>
              <a:prstDash val="solid"/>
            </a:ln>
          </spPr>
          <cat>
            <numRef>
              <f>'Vidéos'!$B$2:$B$16</f>
            </numRef>
          </cat>
          <val>
            <numRef>
              <f>'Vidéos'!$G$2:$G$16</f>
            </numRef>
          </val>
        </ser>
        <ser>
          <idx val="2"/>
          <order val="2"/>
          <tx>
            <strRef>
              <f>'Vidéos'!H1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'Vidéos'!$B$2:$B$16</f>
            </numRef>
          </cat>
          <val>
            <numRef>
              <f>'Vidéos'!$H$2:$H$16</f>
            </numRef>
          </val>
        </ser>
        <ser>
          <idx val="3"/>
          <order val="3"/>
          <tx>
            <strRef>
              <f>'Vidéos'!I1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'Vidéos'!$B$2:$B$16</f>
            </numRef>
          </cat>
          <val>
            <numRef>
              <f>'Vidéos'!$I$2:$I$16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Taux d'engagement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'Vidéos'!K1</f>
            </strRef>
          </tx>
          <spPr>
            <a:solidFill>
              <a:srgbClr val="E5133A"/>
            </a:solidFill>
            <a:ln>
              <a:prstDash val="solid"/>
            </a:ln>
          </spPr>
          <cat>
            <numRef>
              <f>'Vidéos'!$B$2:$B$16</f>
            </numRef>
          </cat>
          <val>
            <numRef>
              <f>'Vidéos'!$K$2:$K$16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cumulées de chaque vidéo, jour après jour</a:t>
            </a:r>
          </a:p>
        </rich>
      </tx>
    </title>
    <plotArea>
      <lineChart>
        <grouping val="standard"/>
        <ser>
          <idx val="0"/>
          <order val="0"/>
          <tx>
            <strRef>
              <f>'Évolution par vidéo'!B1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vidéo'!$B$2:$B$6</f>
            </numRef>
          </val>
        </ser>
        <ser>
          <idx val="1"/>
          <order val="1"/>
          <tx>
            <strRef>
              <f>'Évolution par vidéo'!C1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vidéo'!$C$2:$C$6</f>
            </numRef>
          </val>
        </ser>
        <ser>
          <idx val="2"/>
          <order val="2"/>
          <tx>
            <strRef>
              <f>'Évolution par vidéo'!D1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vidéo'!$D$2:$D$6</f>
            </numRef>
          </val>
        </ser>
        <ser>
          <idx val="3"/>
          <order val="3"/>
          <tx>
            <strRef>
              <f>'Évolution par vidéo'!E1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vidéo'!$E$2:$E$6</f>
            </numRef>
          </val>
        </ser>
        <ser>
          <idx val="4"/>
          <order val="4"/>
          <tx>
            <strRef>
              <f>'Évolution par vidéo'!F1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vidéo'!$F$2:$F$6</f>
            </numRef>
          </val>
        </ser>
        <ser>
          <idx val="5"/>
          <order val="5"/>
          <tx>
            <strRef>
              <f>'Évolution par vidéo'!G1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vidéo'!$G$2:$G$6</f>
            </numRef>
          </val>
        </ser>
        <ser>
          <idx val="6"/>
          <order val="6"/>
          <tx>
            <strRef>
              <f>'Évolution par vidéo'!H1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vidéo'!$H$2:$H$6</f>
            </numRef>
          </val>
        </ser>
        <ser>
          <idx val="7"/>
          <order val="7"/>
          <tx>
            <strRef>
              <f>'Évolution par vidéo'!I1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vidéo'!$I$2:$I$6</f>
            </numRef>
          </val>
        </ser>
        <ser>
          <idx val="8"/>
          <order val="8"/>
          <tx>
            <strRef>
              <f>'Évolution par vidéo'!J1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vidéo'!$J$2:$J$6</f>
            </numRef>
          </val>
        </ser>
        <ser>
          <idx val="9"/>
          <order val="9"/>
          <tx>
            <strRef>
              <f>'Évolution par vidéo'!K1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vidéo'!$K$2:$K$6</f>
            </numRef>
          </val>
        </ser>
        <ser>
          <idx val="10"/>
          <order val="10"/>
          <tx>
            <strRef>
              <f>'Évolution par vidéo'!L1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vidéo'!$L$2:$L$6</f>
            </numRef>
          </val>
        </ser>
        <ser>
          <idx val="11"/>
          <order val="11"/>
          <tx>
            <strRef>
              <f>'Évolution par vidéo'!M1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vidéo'!$M$2:$M$6</f>
            </numRef>
          </val>
        </ser>
        <ser>
          <idx val="12"/>
          <order val="12"/>
          <tx>
            <strRef>
              <f>'Évolution par vidéo'!N1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vidéo'!$N$2:$N$6</f>
            </numRef>
          </val>
        </ser>
        <ser>
          <idx val="13"/>
          <order val="13"/>
          <tx>
            <strRef>
              <f>'Évolution par vidéo'!O1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vidéo'!$O$2:$O$6</f>
            </numRef>
          </val>
        </ser>
        <ser>
          <idx val="14"/>
          <order val="14"/>
          <tx>
            <strRef>
              <f>'Évolution par vidéo'!P1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vidéo'!$A$2:$A$6</f>
            </numRef>
          </cat>
          <val>
            <numRef>
              <f>'Évolution par vidéo'!$P$2:$P$6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gagnées chaque jour, vidéo par vidéo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'Vues du jour par vidéo'!B1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vidéo'!$B$2:$B$6</f>
            </numRef>
          </val>
        </ser>
        <ser>
          <idx val="1"/>
          <order val="1"/>
          <tx>
            <strRef>
              <f>'Vues du jour par vidéo'!C1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vidéo'!$C$2:$C$6</f>
            </numRef>
          </val>
        </ser>
        <ser>
          <idx val="2"/>
          <order val="2"/>
          <tx>
            <strRef>
              <f>'Vues du jour par vidéo'!D1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vidéo'!$D$2:$D$6</f>
            </numRef>
          </val>
        </ser>
        <ser>
          <idx val="3"/>
          <order val="3"/>
          <tx>
            <strRef>
              <f>'Vues du jour par vidéo'!E1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vidéo'!$E$2:$E$6</f>
            </numRef>
          </val>
        </ser>
        <ser>
          <idx val="4"/>
          <order val="4"/>
          <tx>
            <strRef>
              <f>'Vues du jour par vidéo'!F1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vidéo'!$F$2:$F$6</f>
            </numRef>
          </val>
        </ser>
        <ser>
          <idx val="5"/>
          <order val="5"/>
          <tx>
            <strRef>
              <f>'Vues du jour par vidéo'!G1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vidéo'!$G$2:$G$6</f>
            </numRef>
          </val>
        </ser>
        <ser>
          <idx val="6"/>
          <order val="6"/>
          <tx>
            <strRef>
              <f>'Vues du jour par vidéo'!H1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vidéo'!$H$2:$H$6</f>
            </numRef>
          </val>
        </ser>
        <ser>
          <idx val="7"/>
          <order val="7"/>
          <tx>
            <strRef>
              <f>'Vues du jour par vidéo'!I1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vidéo'!$I$2:$I$6</f>
            </numRef>
          </val>
        </ser>
        <ser>
          <idx val="8"/>
          <order val="8"/>
          <tx>
            <strRef>
              <f>'Vues du jour par vidéo'!J1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vidéo'!$J$2:$J$6</f>
            </numRef>
          </val>
        </ser>
        <ser>
          <idx val="9"/>
          <order val="9"/>
          <tx>
            <strRef>
              <f>'Vues du jour par vidéo'!K1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vidéo'!$K$2:$K$6</f>
            </numRef>
          </val>
        </ser>
        <ser>
          <idx val="10"/>
          <order val="10"/>
          <tx>
            <strRef>
              <f>'Vues du jour par vidéo'!L1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vidéo'!$L$2:$L$6</f>
            </numRef>
          </val>
        </ser>
        <ser>
          <idx val="11"/>
          <order val="11"/>
          <tx>
            <strRef>
              <f>'Vues du jour par vidéo'!M1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vidéo'!$M$2:$M$6</f>
            </numRef>
          </val>
        </ser>
        <ser>
          <idx val="12"/>
          <order val="12"/>
          <tx>
            <strRef>
              <f>'Vues du jour par vidéo'!N1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vidéo'!$N$2:$N$6</f>
            </numRef>
          </val>
        </ser>
        <ser>
          <idx val="13"/>
          <order val="13"/>
          <tx>
            <strRef>
              <f>'Vues du jour par vidéo'!O1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vidéo'!$O$2:$O$6</f>
            </numRef>
          </val>
        </ser>
        <ser>
          <idx val="14"/>
          <order val="14"/>
          <tx>
            <strRef>
              <f>'Vues du jour par vidéo'!P1</f>
            </strRef>
          </tx>
          <spPr>
            <a:ln>
              <a:prstDash val="solid"/>
            </a:ln>
          </spPr>
          <cat>
            <numRef>
              <f>'Vues du jour par vidéo'!$A$2:$A$6</f>
            </numRef>
          </cat>
          <val>
            <numRef>
              <f>'Vues du jour par vidéo'!$P$2:$P$6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des stories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'Stories'!B1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'Stories'!$A$2:$A$34</f>
            </numRef>
          </cat>
          <val>
            <numRef>
              <f>'Stories'!$B$2:$B$34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49</row>
      <rowOff>0</rowOff>
    </from>
    <ext cx="57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34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reel/DeoeolIgUGY/" TargetMode="External" Id="rId1" /><Relationship Type="http://schemas.openxmlformats.org/officeDocument/2006/relationships/hyperlink" Target="https://www.instagram.com/reel/DeovxcBkRv_/" TargetMode="External" Id="rId2" /><Relationship Type="http://schemas.openxmlformats.org/officeDocument/2006/relationships/hyperlink" Target="https://www.instagram.com/reel/Deo1Sr6iZnW/" TargetMode="External" Id="rId3" /><Relationship Type="http://schemas.openxmlformats.org/officeDocument/2006/relationships/hyperlink" Target="https://www.instagram.com/reel/DephiMUiZlP/" TargetMode="External" Id="rId4" /><Relationship Type="http://schemas.openxmlformats.org/officeDocument/2006/relationships/hyperlink" Target="https://www.instagram.com/reel/DeqltD5CUh1/" TargetMode="External" Id="rId5" /><Relationship Type="http://schemas.openxmlformats.org/officeDocument/2006/relationships/hyperlink" Target="https://www.instagram.com/reel/DeqzZwwgNZA/" TargetMode="External" Id="rId6" /><Relationship Type="http://schemas.openxmlformats.org/officeDocument/2006/relationships/hyperlink" Target="https://www.instagram.com/reel/Deq5shWj03J/" TargetMode="External" Id="rId7" /><Relationship Type="http://schemas.openxmlformats.org/officeDocument/2006/relationships/hyperlink" Target="https://www.instagram.com/reel/DerN1lWgqYL/" TargetMode="External" Id="rId8" /><Relationship Type="http://schemas.openxmlformats.org/officeDocument/2006/relationships/hyperlink" Target="https://www.instagram.com/reel/Der2bYjllOT/" TargetMode="External" Id="rId9" /><Relationship Type="http://schemas.openxmlformats.org/officeDocument/2006/relationships/hyperlink" Target="https://www.instagram.com/reel/DetoG3RDRGR/" TargetMode="External" Id="rId10" /><Relationship Type="http://schemas.openxmlformats.org/officeDocument/2006/relationships/hyperlink" Target="https://www.instagram.com/reel/DeuORmrje2X/" TargetMode="External" Id="rId11" /><Relationship Type="http://schemas.openxmlformats.org/officeDocument/2006/relationships/hyperlink" Target="https://www.instagram.com/reel/Dev7vAwiHPF/" TargetMode="External" Id="rId12" /><Relationship Type="http://schemas.openxmlformats.org/officeDocument/2006/relationships/hyperlink" Target="https://www.instagram.com/reel/DewXqdggjen/" TargetMode="External" Id="rId13" /><Relationship Type="http://schemas.openxmlformats.org/officeDocument/2006/relationships/hyperlink" Target="https://www.instagram.com/reel/DewzPEDkwDC/" TargetMode="External" Id="rId14" /><Relationship Type="http://schemas.openxmlformats.org/officeDocument/2006/relationships/hyperlink" Target="https://www.instagram.com/reel/Dey8pqJjxZe/" TargetMode="External" Id="rId15" /><Relationship Type="http://schemas.openxmlformats.org/officeDocument/2006/relationships/drawing" Target="/xl/drawings/drawing2.xml" Id="rId16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stories/decodeactu/4010082643597439666" TargetMode="External" Id="rId1" /><Relationship Type="http://schemas.openxmlformats.org/officeDocument/2006/relationships/hyperlink" Target="https://www.instagram.com/stories/decodeactu/4010085165683465949" TargetMode="External" Id="rId2" /><Relationship Type="http://schemas.openxmlformats.org/officeDocument/2006/relationships/hyperlink" Target="https://www.instagram.com/stories/decodeactu/4010580444979118418" TargetMode="External" Id="rId3" /><Relationship Type="http://schemas.openxmlformats.org/officeDocument/2006/relationships/hyperlink" Target="https://www.instagram.com/stories/decodeactu/4010591233256788578" TargetMode="External" Id="rId4" /><Relationship Type="http://schemas.openxmlformats.org/officeDocument/2006/relationships/hyperlink" Target="https://www.instagram.com/stories/decodeactu/4010666015784838411" TargetMode="External" Id="rId5" /><Relationship Type="http://schemas.openxmlformats.org/officeDocument/2006/relationships/hyperlink" Target="https://www.instagram.com/stories/decodeactu/4010666140154335585" TargetMode="External" Id="rId6" /><Relationship Type="http://schemas.openxmlformats.org/officeDocument/2006/relationships/hyperlink" Target="https://www.instagram.com/stories/decodeactu/4010690394136360817" TargetMode="External" Id="rId7" /><Relationship Type="http://schemas.openxmlformats.org/officeDocument/2006/relationships/hyperlink" Target="https://www.instagram.com/stories/decodeactu/4010870598054531991" TargetMode="External" Id="rId8" /><Relationship Type="http://schemas.openxmlformats.org/officeDocument/2006/relationships/hyperlink" Target="https://www.instagram.com/stories/decodeactu/4010884840560370844" TargetMode="External" Id="rId9" /><Relationship Type="http://schemas.openxmlformats.org/officeDocument/2006/relationships/hyperlink" Target="https://www.instagram.com/stories/decodeactu/4011184619395494112" TargetMode="External" Id="rId10" /><Relationship Type="http://schemas.openxmlformats.org/officeDocument/2006/relationships/hyperlink" Target="https://www.instagram.com/stories/decodeactu/4011206044512788419" TargetMode="External" Id="rId11" /><Relationship Type="http://schemas.openxmlformats.org/officeDocument/2006/relationships/hyperlink" Target="https://www.instagram.com/stories/decodeactu/4011244883063248653" TargetMode="External" Id="rId12" /><Relationship Type="http://schemas.openxmlformats.org/officeDocument/2006/relationships/hyperlink" Target="https://www.instagram.com/stories/decodeactu/4011245014529499175" TargetMode="External" Id="rId13" /><Relationship Type="http://schemas.openxmlformats.org/officeDocument/2006/relationships/hyperlink" Target="https://www.instagram.com/stories/decodeactu/4011246901605914493" TargetMode="External" Id="rId14" /><Relationship Type="http://schemas.openxmlformats.org/officeDocument/2006/relationships/hyperlink" Target="https://www.instagram.com/stories/decodeactu/4011272620515678186" TargetMode="External" Id="rId15" /><Relationship Type="http://schemas.openxmlformats.org/officeDocument/2006/relationships/hyperlink" Target="https://www.instagram.com/stories/decodeactu/4011273942141182263" TargetMode="External" Id="rId16" /><Relationship Type="http://schemas.openxmlformats.org/officeDocument/2006/relationships/hyperlink" Target="https://www.instagram.com/stories/decodeactu/4011274495344325312" TargetMode="External" Id="rId17" /><Relationship Type="http://schemas.openxmlformats.org/officeDocument/2006/relationships/hyperlink" Target="https://www.instagram.com/stories/decodeactu/4011361379043453867" TargetMode="External" Id="rId18" /><Relationship Type="http://schemas.openxmlformats.org/officeDocument/2006/relationships/hyperlink" Target="https://www.instagram.com/stories/decodeactu/4011361490788153119" TargetMode="External" Id="rId19" /><Relationship Type="http://schemas.openxmlformats.org/officeDocument/2006/relationships/hyperlink" Target="https://www.instagram.com/stories/decodeactu/4011539666742908595" TargetMode="External" Id="rId20" /><Relationship Type="http://schemas.openxmlformats.org/officeDocument/2006/relationships/hyperlink" Target="https://www.instagram.com/stories/decodeactu/4011969966597933986" TargetMode="External" Id="rId21" /><Relationship Type="http://schemas.openxmlformats.org/officeDocument/2006/relationships/hyperlink" Target="https://www.instagram.com/stories/decodeactu/4012039801088150752" TargetMode="External" Id="rId22" /><Relationship Type="http://schemas.openxmlformats.org/officeDocument/2006/relationships/hyperlink" Target="https://www.instagram.com/stories/decodeactu/4012039943837071141" TargetMode="External" Id="rId23" /><Relationship Type="http://schemas.openxmlformats.org/officeDocument/2006/relationships/hyperlink" Target="https://www.instagram.com/stories/decodeactu/4012132574386942983" TargetMode="External" Id="rId24" /><Relationship Type="http://schemas.openxmlformats.org/officeDocument/2006/relationships/hyperlink" Target="https://www.instagram.com/stories/decodeactu/4012207678374431526" TargetMode="External" Id="rId25" /><Relationship Type="http://schemas.openxmlformats.org/officeDocument/2006/relationships/hyperlink" Target="https://www.instagram.com/stories/decodeactu/4012667101185949589" TargetMode="External" Id="rId26" /><Relationship Type="http://schemas.openxmlformats.org/officeDocument/2006/relationships/hyperlink" Target="https://www.instagram.com/stories/decodeactu/4012689022548033578" TargetMode="External" Id="rId27" /><Relationship Type="http://schemas.openxmlformats.org/officeDocument/2006/relationships/hyperlink" Target="https://www.instagram.com/stories/decodeactu/4012750071917523183" TargetMode="External" Id="rId28" /><Relationship Type="http://schemas.openxmlformats.org/officeDocument/2006/relationships/hyperlink" Target="https://www.instagram.com/stories/decodeactu/4012811853110464305" TargetMode="External" Id="rId29" /><Relationship Type="http://schemas.openxmlformats.org/officeDocument/2006/relationships/hyperlink" Target="https://www.instagram.com/stories/decodeactu/4012901221690811980" TargetMode="External" Id="rId30" /><Relationship Type="http://schemas.openxmlformats.org/officeDocument/2006/relationships/hyperlink" Target="https://www.instagram.com/stories/decodeactu/4012933171482325794" TargetMode="External" Id="rId31" /><Relationship Type="http://schemas.openxmlformats.org/officeDocument/2006/relationships/hyperlink" Target="https://www.instagram.com/stories/decodeactu/4013418547984573890" TargetMode="External" Id="rId32" /><Relationship Type="http://schemas.openxmlformats.org/officeDocument/2006/relationships/hyperlink" Target="https://www.instagram.com/stories/decodeactu/4013537525339613060" TargetMode="External" Id="rId33" /><Relationship Type="http://schemas.openxmlformats.org/officeDocument/2006/relationships/drawing" Target="/xl/drawings/drawing5.xm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  <col width="10" customWidth="1" min="13" max="13"/>
  </cols>
  <sheetData>
    <row r="1" ht="32" customHeight="1">
      <c r="A1" s="1" t="inlineStr">
        <is>
          <t>Jour</t>
        </is>
      </c>
      <c r="B1" s="1" t="inlineStr">
        <is>
          <t>Abonnés</t>
        </is>
      </c>
      <c r="C1" s="1" t="inlineStr">
        <is>
          <t>Abonnés gagnés</t>
        </is>
      </c>
      <c r="D1" s="1" t="inlineStr">
        <is>
          <t>Vues cumulées des vidéos</t>
        </is>
      </c>
      <c r="E1" s="1" t="inlineStr">
        <is>
          <t>Vues du jour (vidéos)</t>
        </is>
      </c>
      <c r="F1" s="1" t="inlineStr">
        <is>
          <t>Portée du compte</t>
        </is>
      </c>
      <c r="G1" s="1" t="inlineStr">
        <is>
          <t>Vues du compte</t>
        </is>
      </c>
      <c r="H1" s="1" t="inlineStr">
        <is>
          <t>Visites du profil</t>
        </is>
      </c>
      <c r="I1" s="1" t="inlineStr">
        <is>
          <t>Comptes engagés</t>
        </is>
      </c>
      <c r="J1" s="1" t="inlineStr">
        <is>
          <t>Interactions</t>
        </is>
      </c>
      <c r="K1" s="1" t="inlineStr">
        <is>
          <t>Clics lien bio</t>
        </is>
      </c>
      <c r="L1" s="1" t="inlineStr">
        <is>
          <t>Vues des stories du jour</t>
        </is>
      </c>
      <c r="M1" s="1" t="inlineStr">
        <is>
          <t>Vidéos publiées</t>
        </is>
      </c>
    </row>
    <row r="2">
      <c r="A2" s="2" t="inlineStr">
        <is>
          <t>2026-10-18</t>
        </is>
      </c>
      <c r="B2" s="3" t="n">
        <v>4</v>
      </c>
      <c r="C2" s="3">
        <f>IF(ROW()=2,"",B2-B1)</f>
        <v/>
      </c>
      <c r="D2" s="3" t="n">
        <v>868</v>
      </c>
      <c r="E2" s="3">
        <f>IF(ROW()=2,D2,D2-D1)</f>
        <v/>
      </c>
      <c r="F2" s="3" t="n">
        <v>728</v>
      </c>
      <c r="G2" s="3" t="n">
        <v>880</v>
      </c>
      <c r="H2" s="3" t="n">
        <v>19</v>
      </c>
      <c r="I2" s="3" t="n">
        <v>11</v>
      </c>
      <c r="J2" s="3" t="n">
        <v>28</v>
      </c>
      <c r="K2" s="3" t="n">
        <v>0</v>
      </c>
      <c r="L2" s="3" t="n">
        <v>32</v>
      </c>
      <c r="M2" s="3" t="n">
        <v>4</v>
      </c>
    </row>
    <row r="3">
      <c r="A3" s="2" t="inlineStr">
        <is>
          <t>2026-10-19</t>
        </is>
      </c>
      <c r="B3" s="3" t="n">
        <v>4</v>
      </c>
      <c r="C3" s="3">
        <f>IF(ROW()=2,"",B3-B2)</f>
        <v/>
      </c>
      <c r="D3" s="3" t="n">
        <v>2318</v>
      </c>
      <c r="E3" s="3">
        <f>IF(ROW()=2,D3,D3-D2)</f>
        <v/>
      </c>
      <c r="F3" s="3" t="n">
        <v>1728</v>
      </c>
      <c r="G3" s="3" t="n">
        <v>2154</v>
      </c>
      <c r="H3" s="3" t="n">
        <v>17</v>
      </c>
      <c r="I3" s="3" t="n">
        <v>30</v>
      </c>
      <c r="J3" s="3" t="n">
        <v>48</v>
      </c>
      <c r="K3" s="3" t="n">
        <v>0</v>
      </c>
      <c r="L3" s="3" t="n">
        <v>14</v>
      </c>
      <c r="M3" s="3" t="n">
        <v>4</v>
      </c>
    </row>
    <row r="4">
      <c r="A4" s="2" t="inlineStr">
        <is>
          <t>2026-10-20</t>
        </is>
      </c>
      <c r="B4" s="3" t="n">
        <v>4</v>
      </c>
      <c r="C4" s="3">
        <f>IF(ROW()=2,"",B4-B3)</f>
        <v/>
      </c>
      <c r="D4" s="3" t="n">
        <v>2620</v>
      </c>
      <c r="E4" s="3">
        <f>IF(ROW()=2,D4,D4-D3)</f>
        <v/>
      </c>
      <c r="F4" s="3" t="n">
        <v>831</v>
      </c>
      <c r="G4" s="3" t="n">
        <v>1000</v>
      </c>
      <c r="H4" s="3" t="n">
        <v>6</v>
      </c>
      <c r="I4" s="3" t="n">
        <v>8</v>
      </c>
      <c r="J4" s="3" t="n">
        <v>16</v>
      </c>
      <c r="K4" s="3" t="n">
        <v>0</v>
      </c>
      <c r="L4" s="3" t="n">
        <v>4</v>
      </c>
      <c r="M4" s="3" t="n">
        <v>1</v>
      </c>
    </row>
    <row r="5">
      <c r="A5" s="2" t="inlineStr">
        <is>
          <t>2026-10-21</t>
        </is>
      </c>
      <c r="B5" s="3" t="n">
        <v>4</v>
      </c>
      <c r="C5" s="3">
        <f>IF(ROW()=2,"",B5-B4)</f>
        <v/>
      </c>
      <c r="D5" s="3" t="n">
        <v>2977</v>
      </c>
      <c r="E5" s="3">
        <f>IF(ROW()=2,D5,D5-D4)</f>
        <v/>
      </c>
      <c r="F5" s="3" t="n">
        <v>363</v>
      </c>
      <c r="G5" s="3" t="n">
        <v>453</v>
      </c>
      <c r="H5" s="3" t="n">
        <v>4</v>
      </c>
      <c r="I5" s="3" t="n">
        <v>4</v>
      </c>
      <c r="J5" s="3" t="n">
        <v>7</v>
      </c>
      <c r="K5" s="3" t="n">
        <v>0</v>
      </c>
      <c r="L5" s="3" t="n">
        <v>9</v>
      </c>
      <c r="M5" s="3" t="n">
        <v>2</v>
      </c>
    </row>
    <row r="6">
      <c r="A6" s="2" t="inlineStr">
        <is>
          <t>2026-10-22</t>
        </is>
      </c>
      <c r="B6" s="3" t="n">
        <v>4</v>
      </c>
      <c r="C6" s="3">
        <f>IF(ROW()=2,"",B6-B5)</f>
        <v/>
      </c>
      <c r="D6" s="3" t="n">
        <v>2728</v>
      </c>
      <c r="E6" s="3">
        <f>IF(ROW()=2,D6,D6-D5)</f>
        <v/>
      </c>
      <c r="F6" s="3" t="n">
        <v>343</v>
      </c>
      <c r="G6" s="3" t="n">
        <v>431</v>
      </c>
      <c r="H6" s="3" t="n">
        <v>2</v>
      </c>
      <c r="I6" s="3" t="n">
        <v>2</v>
      </c>
      <c r="J6" s="3" t="n">
        <v>4</v>
      </c>
      <c r="K6" s="3" t="n">
        <v>0</v>
      </c>
      <c r="L6" s="3" t="n">
        <v>1</v>
      </c>
      <c r="M6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9" customWidth="1" min="4" max="4"/>
    <col width="11" customWidth="1" min="5" max="5"/>
    <col width="8" customWidth="1" min="6" max="6"/>
    <col width="12" customWidth="1" min="7" max="7"/>
    <col width="9" customWidth="1" min="8" max="8"/>
    <col width="13" customWidth="1" min="9" max="9"/>
    <col width="11" customWidth="1" min="10" max="10"/>
    <col width="12" customWidth="1" min="11" max="11"/>
    <col width="12" customWidth="1" min="12" max="12"/>
  </cols>
  <sheetData>
    <row r="1" ht="32" customHeight="1">
      <c r="A1" s="1" t="inlineStr">
        <is>
          <t>Publiée le</t>
        </is>
      </c>
      <c r="B1" s="1" t="inlineStr">
        <is>
          <t>Titre</t>
        </is>
      </c>
      <c r="C1" s="1" t="inlineStr">
        <is>
          <t>Lien</t>
        </is>
      </c>
      <c r="D1" s="1" t="inlineStr">
        <is>
          <t>Vues</t>
        </is>
      </c>
      <c r="E1" s="1" t="inlineStr">
        <is>
          <t>Comptes touchés</t>
        </is>
      </c>
      <c r="F1" s="1" t="inlineStr">
        <is>
          <t>Likes</t>
        </is>
      </c>
      <c r="G1" s="1" t="inlineStr">
        <is>
          <t>Commentaires</t>
        </is>
      </c>
      <c r="H1" s="1" t="inlineStr">
        <is>
          <t>Partages</t>
        </is>
      </c>
      <c r="I1" s="1" t="inlineStr">
        <is>
          <t>Enregistrements</t>
        </is>
      </c>
      <c r="J1" s="1" t="inlineStr">
        <is>
          <t>Interactions</t>
        </is>
      </c>
      <c r="K1" s="1" t="inlineStr">
        <is>
          <t>Taux d'engagement</t>
        </is>
      </c>
      <c r="L1" s="1" t="inlineStr">
        <is>
          <t>Vues / comptes touchés</t>
        </is>
      </c>
    </row>
    <row r="2">
      <c r="A2" s="2" t="inlineStr">
        <is>
          <t>2026-10-18 10:34</t>
        </is>
      </c>
      <c r="B2" s="2" t="inlineStr">
        <is>
          <t>POV : ta mamie t'écrit « ma retraite va baiss</t>
        </is>
      </c>
      <c r="C2" s="4" t="inlineStr">
        <is>
          <t>ouvrir</t>
        </is>
      </c>
      <c r="D2" s="3" t="n">
        <v>120</v>
      </c>
      <c r="E2" s="3" t="n">
        <v>115</v>
      </c>
      <c r="F2" s="3" t="n">
        <v>2</v>
      </c>
      <c r="G2" s="3" t="n">
        <v>0</v>
      </c>
      <c r="H2" s="3" t="n">
        <v>0</v>
      </c>
      <c r="I2" s="3" t="n">
        <v>0</v>
      </c>
      <c r="J2" s="3" t="n">
        <v>2</v>
      </c>
      <c r="K2" s="5">
        <f>IFERROR((F2+G2+H2+I2)/IF(E2&gt;0,E2,D2),0)</f>
        <v/>
      </c>
      <c r="L2" s="6">
        <f>IFERROR(D2/E2,0)</f>
        <v/>
      </c>
    </row>
    <row r="3">
      <c r="A3" s="2" t="inlineStr">
        <is>
          <t>2026-10-18 13:04</t>
        </is>
      </c>
      <c r="B3" s="2" t="inlineStr">
        <is>
          <t>👻 On ne parle que des casseurs… et les revend</t>
        </is>
      </c>
      <c r="C3" s="4" t="inlineStr">
        <is>
          <t>ouvrir</t>
        </is>
      </c>
      <c r="D3" s="3" t="n">
        <v>191</v>
      </c>
      <c r="E3" s="3" t="n">
        <v>171</v>
      </c>
      <c r="F3" s="3" t="n">
        <v>4</v>
      </c>
      <c r="G3" s="3" t="n">
        <v>0</v>
      </c>
      <c r="H3" s="3" t="n">
        <v>0</v>
      </c>
      <c r="I3" s="3" t="n">
        <v>0</v>
      </c>
      <c r="J3" s="3" t="n">
        <v>5</v>
      </c>
      <c r="K3" s="5">
        <f>IFERROR((F3+G3+H3+I3)/IF(E3&gt;0,E3,D3),0)</f>
        <v/>
      </c>
      <c r="L3" s="6">
        <f>IFERROR(D3/E3,0)</f>
        <v/>
      </c>
    </row>
    <row r="4">
      <c r="A4" s="2" t="inlineStr">
        <is>
          <t>2026-10-18 13:52</t>
        </is>
      </c>
      <c r="B4" s="2" t="inlineStr">
        <is>
          <t>👑 Vendredi soir : Macron au concert de Céline</t>
        </is>
      </c>
      <c r="C4" s="4" t="inlineStr">
        <is>
          <t>ouvrir</t>
        </is>
      </c>
      <c r="D4" s="3" t="n">
        <v>1155</v>
      </c>
      <c r="E4" s="3" t="n">
        <v>1003</v>
      </c>
      <c r="F4" s="3" t="n">
        <v>17</v>
      </c>
      <c r="G4" s="3" t="n">
        <v>2</v>
      </c>
      <c r="H4" s="3" t="n">
        <v>0</v>
      </c>
      <c r="I4" s="3" t="n">
        <v>0</v>
      </c>
      <c r="J4" s="3" t="n">
        <v>20</v>
      </c>
      <c r="K4" s="5">
        <f>IFERROR((F4+G4+H4+I4)/IF(E4&gt;0,E4,D4),0)</f>
        <v/>
      </c>
      <c r="L4" s="6">
        <f>IFERROR(D4/E4,0)</f>
        <v/>
      </c>
    </row>
    <row r="5">
      <c r="A5" s="2" t="inlineStr">
        <is>
          <t>2026-10-18 20:18</t>
        </is>
      </c>
      <c r="B5" s="2" t="inlineStr">
        <is>
          <t>😱 Ma réaction à ce qui t'attend le 1er novemb</t>
        </is>
      </c>
      <c r="C5" s="4" t="inlineStr">
        <is>
          <t>ouvrir</t>
        </is>
      </c>
      <c r="D5" s="3" t="n">
        <v>121</v>
      </c>
      <c r="E5" s="3" t="n">
        <v>109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2</v>
      </c>
      <c r="K5" s="5">
        <f>IFERROR((F5+G5+H5+I5)/IF(E5&gt;0,E5,D5),0)</f>
        <v/>
      </c>
      <c r="L5" s="6">
        <f>IFERROR(D5/E5,0)</f>
        <v/>
      </c>
    </row>
    <row r="6">
      <c r="A6" s="2" t="inlineStr">
        <is>
          <t>2026-10-19 06:14</t>
        </is>
      </c>
      <c r="B6" s="2" t="inlineStr">
        <is>
          <t>🧮 Quiz : ta manif dégénère et tu restes après</t>
        </is>
      </c>
      <c r="C6" s="4" t="inlineStr">
        <is>
          <t>ouvrir</t>
        </is>
      </c>
      <c r="D6" s="3" t="n">
        <v>110</v>
      </c>
      <c r="E6" s="3" t="n">
        <v>104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1</v>
      </c>
      <c r="K6" s="5">
        <f>IFERROR((F6+G6+H6+I6)/IF(E6&gt;0,E6,D6),0)</f>
        <v/>
      </c>
      <c r="L6" s="6">
        <f>IFERROR(D6/E6,0)</f>
        <v/>
      </c>
    </row>
    <row r="7">
      <c r="A7" s="2" t="inlineStr">
        <is>
          <t>2026-10-19 08:14</t>
        </is>
      </c>
      <c r="B7" s="2" t="inlineStr">
        <is>
          <t>Et soudain, 718 stations sans gazole. Ta stat</t>
        </is>
      </c>
      <c r="C7" s="4" t="inlineStr">
        <is>
          <t>ouvrir</t>
        </is>
      </c>
      <c r="D7" s="3" t="n">
        <v>86</v>
      </c>
      <c r="E7" s="3" t="n">
        <v>82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1</v>
      </c>
      <c r="K7" s="5">
        <f>IFERROR((F7+G7+H7+I7)/IF(E7&gt;0,E7,D7),0)</f>
        <v/>
      </c>
      <c r="L7" s="6">
        <f>IFERROR(D7/E7,0)</f>
        <v/>
      </c>
    </row>
    <row r="8">
      <c r="A8" s="2" t="inlineStr">
        <is>
          <t>2026-10-19 09:09</t>
        </is>
      </c>
      <c r="B8" s="2" t="inlineStr">
        <is>
          <t>Les vitrines d'abord. Toi, après. Pour les co</t>
        </is>
      </c>
      <c r="C8" s="4" t="inlineStr">
        <is>
          <t>ouvrir</t>
        </is>
      </c>
      <c r="D8" s="3" t="n">
        <v>113</v>
      </c>
      <c r="E8" s="3" t="n">
        <v>100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1</v>
      </c>
      <c r="K8" s="5">
        <f>IFERROR((F8+G8+H8+I8)/IF(E8&gt;0,E8,D8),0)</f>
        <v/>
      </c>
      <c r="L8" s="6">
        <f>IFERROR(D8/E8,0)</f>
        <v/>
      </c>
    </row>
    <row r="9">
      <c r="A9" s="2" t="inlineStr">
        <is>
          <t>2026-10-19 12:05</t>
        </is>
      </c>
      <c r="B9" s="2" t="inlineStr">
        <is>
          <t xml:space="preserve">📩 « Jeudi 5 novembre, la France s'arrête. -A </t>
        </is>
      </c>
      <c r="C9" s="4" t="inlineStr">
        <is>
          <t>ouvrir</t>
        </is>
      </c>
      <c r="D9" s="3" t="n">
        <v>111</v>
      </c>
      <c r="E9" s="3" t="n">
        <v>104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5">
        <f>IFERROR((F9+G9+H9+I9)/IF(E9&gt;0,E9,D9),0)</f>
        <v/>
      </c>
      <c r="L9" s="6">
        <f>IFERROR(D9/E9,0)</f>
        <v/>
      </c>
    </row>
    <row r="10">
      <c r="A10" s="2" t="inlineStr">
        <is>
          <t>2026-10-19 17:59</t>
        </is>
      </c>
      <c r="B10" s="2" t="inlineStr">
        <is>
          <t>📖 Il était une fois des agriculteurs en colèr</t>
        </is>
      </c>
      <c r="C10" s="4" t="inlineStr">
        <is>
          <t>ouvrir</t>
        </is>
      </c>
      <c r="D10" s="3" t="n">
        <v>79</v>
      </c>
      <c r="E10" s="3" t="n">
        <v>71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1</v>
      </c>
      <c r="K10" s="5">
        <f>IFERROR((F10+G10+H10+I10)/IF(E10&gt;0,E10,D10),0)</f>
        <v/>
      </c>
      <c r="L10" s="6">
        <f>IFERROR(D10/E10,0)</f>
        <v/>
      </c>
    </row>
    <row r="11">
      <c r="A11" s="2" t="inlineStr">
        <is>
          <t>2026-10-20 10:33</t>
        </is>
      </c>
      <c r="B11" s="2" t="inlineStr">
        <is>
          <t>Couvre-feux, manifs « encadrées, voire interd</t>
        </is>
      </c>
      <c r="C11" s="4" t="inlineStr">
        <is>
          <t>ouvrir</t>
        </is>
      </c>
      <c r="D11" s="3" t="n">
        <v>158</v>
      </c>
      <c r="E11" s="3" t="n">
        <v>141</v>
      </c>
      <c r="F11" s="3" t="n">
        <v>2</v>
      </c>
      <c r="G11" s="3" t="n">
        <v>0</v>
      </c>
      <c r="H11" s="3" t="n">
        <v>0</v>
      </c>
      <c r="I11" s="3" t="n">
        <v>2</v>
      </c>
      <c r="J11" s="3" t="n">
        <v>5</v>
      </c>
      <c r="K11" s="5">
        <f>IFERROR((F11+G11+H11+I11)/IF(E11&gt;0,E11,D11),0)</f>
        <v/>
      </c>
      <c r="L11" s="6">
        <f>IFERROR(D11/E11,0)</f>
        <v/>
      </c>
    </row>
    <row r="12">
      <c r="A12" s="2" t="inlineStr">
        <is>
          <t>2026-10-20 16:07</t>
        </is>
      </c>
      <c r="B12" s="2" t="inlineStr">
        <is>
          <t>Couvre-feu pour les ados, 5,6 milliards envol</t>
        </is>
      </c>
      <c r="C12" s="4" t="inlineStr">
        <is>
          <t>ouvrir</t>
        </is>
      </c>
      <c r="D12" s="3" t="n">
        <v>106</v>
      </c>
      <c r="E12" s="3" t="n">
        <v>100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5">
        <f>IFERROR((F12+G12+H12+I12)/IF(E12&gt;0,E12,D12),0)</f>
        <v/>
      </c>
      <c r="L12" s="6">
        <f>IFERROR(D12/E12,0)</f>
        <v/>
      </c>
    </row>
    <row r="13">
      <c r="A13" s="2" t="inlineStr">
        <is>
          <t>2026-10-21 08:03</t>
        </is>
      </c>
      <c r="B13" s="2" t="inlineStr">
        <is>
          <t>Les syndicats de salariés auraient-ils dû êtr</t>
        </is>
      </c>
      <c r="C13" s="4" t="inlineStr">
        <is>
          <t>ouvrir</t>
        </is>
      </c>
      <c r="D13" s="3" t="n">
        <v>105</v>
      </c>
      <c r="E13" s="3" t="n">
        <v>85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1</v>
      </c>
      <c r="K13" s="5">
        <f>IFERROR((F13+G13+H13+I13)/IF(E13&gt;0,E13,D13),0)</f>
        <v/>
      </c>
      <c r="L13" s="6">
        <f>IFERROR(D13/E13,0)</f>
        <v/>
      </c>
    </row>
    <row r="14">
      <c r="A14" s="2" t="inlineStr">
        <is>
          <t>2026-10-21 12:07</t>
        </is>
      </c>
      <c r="B14" s="2" t="inlineStr">
        <is>
          <t>À toi de juger : taxer les profits du pétrole</t>
        </is>
      </c>
      <c r="C14" s="4" t="inlineStr">
        <is>
          <t>ouvrir</t>
        </is>
      </c>
      <c r="D14" s="3" t="n">
        <v>128</v>
      </c>
      <c r="E14" s="3" t="n">
        <v>105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5">
        <f>IFERROR((F14+G14+H14+I14)/IF(E14&gt;0,E14,D14),0)</f>
        <v/>
      </c>
      <c r="L14" s="6">
        <f>IFERROR(D14/E14,0)</f>
        <v/>
      </c>
    </row>
    <row r="15">
      <c r="A15" s="2" t="inlineStr">
        <is>
          <t>2026-10-21 16:08</t>
        </is>
      </c>
      <c r="B15" s="2" t="inlineStr">
        <is>
          <t>Gel des pensions : oui ou non ? Réponds en co</t>
        </is>
      </c>
      <c r="C15" s="4" t="inlineStr">
        <is>
          <t>ouvrir</t>
        </is>
      </c>
      <c r="D15" s="3" t="n">
        <v>113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5">
        <f>IFERROR((F15+G15+H15+I15)/IF(E15&gt;0,E15,D15),0)</f>
        <v/>
      </c>
      <c r="L15" s="6">
        <f>IFERROR(D15/E15,0)</f>
        <v/>
      </c>
    </row>
    <row r="16">
      <c r="A16" s="2" t="inlineStr">
        <is>
          <t>2026-10-22 12:09</t>
        </is>
      </c>
      <c r="B16" s="2" t="inlineStr">
        <is>
          <t>Couper les réseaux sociaux pendant les émeute</t>
        </is>
      </c>
      <c r="C16" s="4" t="inlineStr">
        <is>
          <t>ouvrir</t>
        </is>
      </c>
      <c r="D16" s="3" t="n">
        <v>32</v>
      </c>
      <c r="E16" s="3" t="n">
        <v>28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5">
        <f>IFERROR((F16+G16+H16+I16)/IF(E16&gt;0,E16,D16),0)</f>
        <v/>
      </c>
      <c r="L16" s="6">
        <f>IFERROR(D16/E16,0)</f>
        <v/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  <drawing xmlns:r="http://schemas.openxmlformats.org/officeDocument/2006/relationships" r:id="rId1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2" customHeight="1">
      <c r="A1" s="1" t="inlineStr">
        <is>
          <t>Jour</t>
        </is>
      </c>
      <c r="B1" s="1" t="inlineStr">
        <is>
          <t xml:space="preserve">POV : ta mamie t'écrit « ma </t>
        </is>
      </c>
      <c r="C1" s="1" t="inlineStr">
        <is>
          <t>👻 On ne parle que des casseu</t>
        </is>
      </c>
      <c r="D1" s="1" t="inlineStr">
        <is>
          <t xml:space="preserve">👑 Vendredi soir : Macron au </t>
        </is>
      </c>
      <c r="E1" s="1" t="inlineStr">
        <is>
          <t>😱 Ma réaction à ce qui t'att</t>
        </is>
      </c>
      <c r="F1" s="1" t="inlineStr">
        <is>
          <t>🧮 Quiz : ta manif dégénère e</t>
        </is>
      </c>
      <c r="G1" s="1" t="inlineStr">
        <is>
          <t>Et soudain, 718 stations san</t>
        </is>
      </c>
      <c r="H1" s="1" t="inlineStr">
        <is>
          <t>Les vitrines d'abord. Toi, a</t>
        </is>
      </c>
      <c r="I1" s="1" t="inlineStr">
        <is>
          <t>📩 « Jeudi 5 novembre, la Fra</t>
        </is>
      </c>
      <c r="J1" s="1" t="inlineStr">
        <is>
          <t>📖 Il était une fois des agri</t>
        </is>
      </c>
      <c r="K1" s="1" t="inlineStr">
        <is>
          <t>Couvre-feux, manifs « encadr</t>
        </is>
      </c>
      <c r="L1" s="1" t="inlineStr">
        <is>
          <t>Couvre-feu pour les ados, 5,</t>
        </is>
      </c>
      <c r="M1" s="1" t="inlineStr">
        <is>
          <t>Les syndicats de salariés au</t>
        </is>
      </c>
      <c r="N1" s="1" t="inlineStr">
        <is>
          <t>À toi de juger : taxer les p</t>
        </is>
      </c>
      <c r="O1" s="1" t="inlineStr">
        <is>
          <t>Gel des pensions : oui ou no</t>
        </is>
      </c>
      <c r="P1" s="1" t="inlineStr">
        <is>
          <t>Couper les réseaux sociaux p</t>
        </is>
      </c>
    </row>
    <row r="2">
      <c r="A2" s="2" t="inlineStr">
        <is>
          <t>2026-10-18</t>
        </is>
      </c>
      <c r="B2" s="3" t="n">
        <v>116</v>
      </c>
      <c r="C2" s="3" t="n">
        <v>135</v>
      </c>
      <c r="D2" s="3" t="n">
        <v>174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2" t="inlineStr">
        <is>
          <t>2026-10-19</t>
        </is>
      </c>
      <c r="B3" s="3" t="n">
        <v>120</v>
      </c>
      <c r="C3" s="3" t="n">
        <v>190</v>
      </c>
      <c r="D3" s="3" t="n">
        <v>1125</v>
      </c>
      <c r="E3" s="3" t="n">
        <v>120</v>
      </c>
      <c r="F3" s="3" t="n">
        <v>105</v>
      </c>
      <c r="G3" s="3" t="n">
        <v>63</v>
      </c>
      <c r="H3" s="3" t="n">
        <v>113</v>
      </c>
      <c r="I3" s="3" t="n">
        <v>7</v>
      </c>
      <c r="J3" s="3" t="n"/>
      <c r="K3" s="3" t="n"/>
      <c r="L3" s="3" t="n"/>
      <c r="M3" s="3" t="n"/>
      <c r="N3" s="3" t="n"/>
      <c r="O3" s="3" t="n"/>
      <c r="P3" s="3" t="n"/>
    </row>
    <row r="4">
      <c r="A4" s="2" t="inlineStr">
        <is>
          <t>2026-10-20</t>
        </is>
      </c>
      <c r="B4" s="3" t="n">
        <v>120</v>
      </c>
      <c r="C4" s="3" t="n">
        <v>191</v>
      </c>
      <c r="D4" s="3" t="n">
        <v>1155</v>
      </c>
      <c r="E4" s="3" t="n">
        <v>120</v>
      </c>
      <c r="F4" s="3" t="n">
        <v>110</v>
      </c>
      <c r="G4" s="3" t="n">
        <v>86</v>
      </c>
      <c r="H4" s="3" t="n">
        <v>113</v>
      </c>
      <c r="I4" s="3" t="n">
        <v>111</v>
      </c>
      <c r="J4" s="3" t="n">
        <v>73</v>
      </c>
      <c r="K4" s="3" t="n">
        <v>63</v>
      </c>
      <c r="L4" s="3" t="n"/>
      <c r="M4" s="3" t="n"/>
      <c r="N4" s="3" t="n"/>
      <c r="O4" s="3" t="n"/>
      <c r="P4" s="3" t="n"/>
    </row>
    <row r="5">
      <c r="A5" s="2" t="inlineStr">
        <is>
          <t>2026-10-21</t>
        </is>
      </c>
      <c r="B5" s="3" t="n">
        <v>120</v>
      </c>
      <c r="C5" s="3" t="n">
        <v>191</v>
      </c>
      <c r="D5" s="3" t="n">
        <v>1155</v>
      </c>
      <c r="E5" s="3" t="n">
        <v>120</v>
      </c>
      <c r="F5" s="3" t="n">
        <v>110</v>
      </c>
      <c r="G5" s="3" t="n">
        <v>86</v>
      </c>
      <c r="H5" s="3" t="n">
        <v>113</v>
      </c>
      <c r="I5" s="3" t="n">
        <v>111</v>
      </c>
      <c r="J5" s="3" t="n">
        <v>79</v>
      </c>
      <c r="K5" s="3" t="n">
        <v>157</v>
      </c>
      <c r="L5" s="3" t="n">
        <v>105</v>
      </c>
      <c r="M5" s="3" t="n">
        <v>80</v>
      </c>
      <c r="N5" s="3" t="n">
        <v>69</v>
      </c>
      <c r="O5" s="3" t="n"/>
      <c r="P5" s="3" t="n"/>
    </row>
    <row r="6">
      <c r="A6" s="2" t="inlineStr">
        <is>
          <t>2026-10-22</t>
        </is>
      </c>
      <c r="B6" s="3" t="n">
        <v>120</v>
      </c>
      <c r="C6" s="3" t="n">
        <v>191</v>
      </c>
      <c r="D6" s="3" t="n">
        <v>1155</v>
      </c>
      <c r="E6" s="3" t="n">
        <v>121</v>
      </c>
      <c r="F6" s="3" t="n">
        <v>110</v>
      </c>
      <c r="G6" s="3" t="n">
        <v>86</v>
      </c>
      <c r="H6" s="3" t="n">
        <v>113</v>
      </c>
      <c r="I6" s="3" t="n">
        <v>111</v>
      </c>
      <c r="J6" s="3" t="n">
        <v>79</v>
      </c>
      <c r="K6" s="3" t="n">
        <v>158</v>
      </c>
      <c r="L6" s="3" t="n">
        <v>106</v>
      </c>
      <c r="M6" s="3" t="n">
        <v>105</v>
      </c>
      <c r="N6" s="3" t="n">
        <v>128</v>
      </c>
      <c r="O6" s="3" t="n">
        <v>113</v>
      </c>
      <c r="P6" s="3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2" customWidth="1" min="17" max="17"/>
  </cols>
  <sheetData>
    <row r="1" ht="32" customHeight="1">
      <c r="A1" s="1" t="inlineStr">
        <is>
          <t>Jour</t>
        </is>
      </c>
      <c r="B1" s="1" t="inlineStr">
        <is>
          <t xml:space="preserve">POV : ta mamie t'écrit « ma </t>
        </is>
      </c>
      <c r="C1" s="1" t="inlineStr">
        <is>
          <t>👻 On ne parle que des casseu</t>
        </is>
      </c>
      <c r="D1" s="1" t="inlineStr">
        <is>
          <t xml:space="preserve">👑 Vendredi soir : Macron au </t>
        </is>
      </c>
      <c r="E1" s="1" t="inlineStr">
        <is>
          <t>😱 Ma réaction à ce qui t'att</t>
        </is>
      </c>
      <c r="F1" s="1" t="inlineStr">
        <is>
          <t>🧮 Quiz : ta manif dégénère e</t>
        </is>
      </c>
      <c r="G1" s="1" t="inlineStr">
        <is>
          <t>Et soudain, 718 stations san</t>
        </is>
      </c>
      <c r="H1" s="1" t="inlineStr">
        <is>
          <t>Les vitrines d'abord. Toi, a</t>
        </is>
      </c>
      <c r="I1" s="1" t="inlineStr">
        <is>
          <t>📩 « Jeudi 5 novembre, la Fra</t>
        </is>
      </c>
      <c r="J1" s="1" t="inlineStr">
        <is>
          <t>📖 Il était une fois des agri</t>
        </is>
      </c>
      <c r="K1" s="1" t="inlineStr">
        <is>
          <t>Couvre-feux, manifs « encadr</t>
        </is>
      </c>
      <c r="L1" s="1" t="inlineStr">
        <is>
          <t>Couvre-feu pour les ados, 5,</t>
        </is>
      </c>
      <c r="M1" s="1" t="inlineStr">
        <is>
          <t>Les syndicats de salariés au</t>
        </is>
      </c>
      <c r="N1" s="1" t="inlineStr">
        <is>
          <t>À toi de juger : taxer les p</t>
        </is>
      </c>
      <c r="O1" s="1" t="inlineStr">
        <is>
          <t>Gel des pensions : oui ou no</t>
        </is>
      </c>
      <c r="P1" s="1" t="inlineStr">
        <is>
          <t>Couper les réseaux sociaux p</t>
        </is>
      </c>
      <c r="Q1" s="1" t="inlineStr">
        <is>
          <t>Total du jour</t>
        </is>
      </c>
    </row>
    <row r="2">
      <c r="A2" s="2" t="inlineStr">
        <is>
          <t>2026-10-18</t>
        </is>
      </c>
      <c r="B2" s="3">
        <f>IF('Évolution par vidéo'!B2="","",'Évolution par vidéo'!B2)</f>
        <v/>
      </c>
      <c r="C2" s="3">
        <f>IF('Évolution par vidéo'!C2="","",'Évolution par vidéo'!C2)</f>
        <v/>
      </c>
      <c r="D2" s="3">
        <f>IF('Évolution par vidéo'!D2="","",'Évolution par vidéo'!D2)</f>
        <v/>
      </c>
      <c r="E2" s="3">
        <f>IF('Évolution par vidéo'!E2="","",'Évolution par vidéo'!E2)</f>
        <v/>
      </c>
      <c r="F2" s="3">
        <f>IF('Évolution par vidéo'!F2="","",'Évolution par vidéo'!F2)</f>
        <v/>
      </c>
      <c r="G2" s="3">
        <f>IF('Évolution par vidéo'!G2="","",'Évolution par vidéo'!G2)</f>
        <v/>
      </c>
      <c r="H2" s="3">
        <f>IF('Évolution par vidéo'!H2="","",'Évolution par vidéo'!H2)</f>
        <v/>
      </c>
      <c r="I2" s="3">
        <f>IF('Évolution par vidéo'!I2="","",'Évolution par vidéo'!I2)</f>
        <v/>
      </c>
      <c r="J2" s="3">
        <f>IF('Évolution par vidéo'!J2="","",'Évolution par vidéo'!J2)</f>
        <v/>
      </c>
      <c r="K2" s="3">
        <f>IF('Évolution par vidéo'!K2="","",'Évolution par vidéo'!K2)</f>
        <v/>
      </c>
      <c r="L2" s="3">
        <f>IF('Évolution par vidéo'!L2="","",'Évolution par vidéo'!L2)</f>
        <v/>
      </c>
      <c r="M2" s="3">
        <f>IF('Évolution par vidéo'!M2="","",'Évolution par vidéo'!M2)</f>
        <v/>
      </c>
      <c r="N2" s="3">
        <f>IF('Évolution par vidéo'!N2="","",'Évolution par vidéo'!N2)</f>
        <v/>
      </c>
      <c r="O2" s="3">
        <f>IF('Évolution par vidéo'!O2="","",'Évolution par vidéo'!O2)</f>
        <v/>
      </c>
      <c r="P2" s="3">
        <f>IF('Évolution par vidéo'!P2="","",'Évolution par vidéo'!P2)</f>
        <v/>
      </c>
      <c r="Q2" s="3">
        <f>SUM(B2:P2)</f>
        <v/>
      </c>
    </row>
    <row r="3">
      <c r="A3" s="2" t="inlineStr">
        <is>
          <t>2026-10-19</t>
        </is>
      </c>
      <c r="B3" s="3">
        <f>IF('Évolution par vidéo'!B3="","",'Évolution par vidéo'!B3-N('Évolution par vidéo'!B2))</f>
        <v/>
      </c>
      <c r="C3" s="3">
        <f>IF('Évolution par vidéo'!C3="","",'Évolution par vidéo'!C3-N('Évolution par vidéo'!C2))</f>
        <v/>
      </c>
      <c r="D3" s="3">
        <f>IF('Évolution par vidéo'!D3="","",'Évolution par vidéo'!D3-N('Évolution par vidéo'!D2))</f>
        <v/>
      </c>
      <c r="E3" s="3">
        <f>IF('Évolution par vidéo'!E3="","",'Évolution par vidéo'!E3-N('Évolution par vidéo'!E2))</f>
        <v/>
      </c>
      <c r="F3" s="3">
        <f>IF('Évolution par vidéo'!F3="","",'Évolution par vidéo'!F3-N('Évolution par vidéo'!F2))</f>
        <v/>
      </c>
      <c r="G3" s="3">
        <f>IF('Évolution par vidéo'!G3="","",'Évolution par vidéo'!G3-N('Évolution par vidéo'!G2))</f>
        <v/>
      </c>
      <c r="H3" s="3">
        <f>IF('Évolution par vidéo'!H3="","",'Évolution par vidéo'!H3-N('Évolution par vidéo'!H2))</f>
        <v/>
      </c>
      <c r="I3" s="3">
        <f>IF('Évolution par vidéo'!I3="","",'Évolution par vidéo'!I3-N('Évolution par vidéo'!I2))</f>
        <v/>
      </c>
      <c r="J3" s="3">
        <f>IF('Évolution par vidéo'!J3="","",'Évolution par vidéo'!J3-N('Évolution par vidéo'!J2))</f>
        <v/>
      </c>
      <c r="K3" s="3">
        <f>IF('Évolution par vidéo'!K3="","",'Évolution par vidéo'!K3-N('Évolution par vidéo'!K2))</f>
        <v/>
      </c>
      <c r="L3" s="3">
        <f>IF('Évolution par vidéo'!L3="","",'Évolution par vidéo'!L3-N('Évolution par vidéo'!L2))</f>
        <v/>
      </c>
      <c r="M3" s="3">
        <f>IF('Évolution par vidéo'!M3="","",'Évolution par vidéo'!M3-N('Évolution par vidéo'!M2))</f>
        <v/>
      </c>
      <c r="N3" s="3">
        <f>IF('Évolution par vidéo'!N3="","",'Évolution par vidéo'!N3-N('Évolution par vidéo'!N2))</f>
        <v/>
      </c>
      <c r="O3" s="3">
        <f>IF('Évolution par vidéo'!O3="","",'Évolution par vidéo'!O3-N('Évolution par vidéo'!O2))</f>
        <v/>
      </c>
      <c r="P3" s="3">
        <f>IF('Évolution par vidéo'!P3="","",'Évolution par vidéo'!P3-N('Évolution par vidéo'!P2))</f>
        <v/>
      </c>
      <c r="Q3" s="3">
        <f>SUM(B3:P3)</f>
        <v/>
      </c>
    </row>
    <row r="4">
      <c r="A4" s="2" t="inlineStr">
        <is>
          <t>2026-10-20</t>
        </is>
      </c>
      <c r="B4" s="3">
        <f>IF('Évolution par vidéo'!B4="","",'Évolution par vidéo'!B4-N('Évolution par vidéo'!B3))</f>
        <v/>
      </c>
      <c r="C4" s="3">
        <f>IF('Évolution par vidéo'!C4="","",'Évolution par vidéo'!C4-N('Évolution par vidéo'!C3))</f>
        <v/>
      </c>
      <c r="D4" s="3">
        <f>IF('Évolution par vidéo'!D4="","",'Évolution par vidéo'!D4-N('Évolution par vidéo'!D3))</f>
        <v/>
      </c>
      <c r="E4" s="3">
        <f>IF('Évolution par vidéo'!E4="","",'Évolution par vidéo'!E4-N('Évolution par vidéo'!E3))</f>
        <v/>
      </c>
      <c r="F4" s="3">
        <f>IF('Évolution par vidéo'!F4="","",'Évolution par vidéo'!F4-N('Évolution par vidéo'!F3))</f>
        <v/>
      </c>
      <c r="G4" s="3">
        <f>IF('Évolution par vidéo'!G4="","",'Évolution par vidéo'!G4-N('Évolution par vidéo'!G3))</f>
        <v/>
      </c>
      <c r="H4" s="3">
        <f>IF('Évolution par vidéo'!H4="","",'Évolution par vidéo'!H4-N('Évolution par vidéo'!H3))</f>
        <v/>
      </c>
      <c r="I4" s="3">
        <f>IF('Évolution par vidéo'!I4="","",'Évolution par vidéo'!I4-N('Évolution par vidéo'!I3))</f>
        <v/>
      </c>
      <c r="J4" s="3">
        <f>IF('Évolution par vidéo'!J4="","",'Évolution par vidéo'!J4-N('Évolution par vidéo'!J3))</f>
        <v/>
      </c>
      <c r="K4" s="3">
        <f>IF('Évolution par vidéo'!K4="","",'Évolution par vidéo'!K4-N('Évolution par vidéo'!K3))</f>
        <v/>
      </c>
      <c r="L4" s="3">
        <f>IF('Évolution par vidéo'!L4="","",'Évolution par vidéo'!L4-N('Évolution par vidéo'!L3))</f>
        <v/>
      </c>
      <c r="M4" s="3">
        <f>IF('Évolution par vidéo'!M4="","",'Évolution par vidéo'!M4-N('Évolution par vidéo'!M3))</f>
        <v/>
      </c>
      <c r="N4" s="3">
        <f>IF('Évolution par vidéo'!N4="","",'Évolution par vidéo'!N4-N('Évolution par vidéo'!N3))</f>
        <v/>
      </c>
      <c r="O4" s="3">
        <f>IF('Évolution par vidéo'!O4="","",'Évolution par vidéo'!O4-N('Évolution par vidéo'!O3))</f>
        <v/>
      </c>
      <c r="P4" s="3">
        <f>IF('Évolution par vidéo'!P4="","",'Évolution par vidéo'!P4-N('Évolution par vidéo'!P3))</f>
        <v/>
      </c>
      <c r="Q4" s="3">
        <f>SUM(B4:P4)</f>
        <v/>
      </c>
    </row>
    <row r="5">
      <c r="A5" s="2" t="inlineStr">
        <is>
          <t>2026-10-21</t>
        </is>
      </c>
      <c r="B5" s="3">
        <f>IF('Évolution par vidéo'!B5="","",'Évolution par vidéo'!B5-N('Évolution par vidéo'!B4))</f>
        <v/>
      </c>
      <c r="C5" s="3">
        <f>IF('Évolution par vidéo'!C5="","",'Évolution par vidéo'!C5-N('Évolution par vidéo'!C4))</f>
        <v/>
      </c>
      <c r="D5" s="3">
        <f>IF('Évolution par vidéo'!D5="","",'Évolution par vidéo'!D5-N('Évolution par vidéo'!D4))</f>
        <v/>
      </c>
      <c r="E5" s="3">
        <f>IF('Évolution par vidéo'!E5="","",'Évolution par vidéo'!E5-N('Évolution par vidéo'!E4))</f>
        <v/>
      </c>
      <c r="F5" s="3">
        <f>IF('Évolution par vidéo'!F5="","",'Évolution par vidéo'!F5-N('Évolution par vidéo'!F4))</f>
        <v/>
      </c>
      <c r="G5" s="3">
        <f>IF('Évolution par vidéo'!G5="","",'Évolution par vidéo'!G5-N('Évolution par vidéo'!G4))</f>
        <v/>
      </c>
      <c r="H5" s="3">
        <f>IF('Évolution par vidéo'!H5="","",'Évolution par vidéo'!H5-N('Évolution par vidéo'!H4))</f>
        <v/>
      </c>
      <c r="I5" s="3">
        <f>IF('Évolution par vidéo'!I5="","",'Évolution par vidéo'!I5-N('Évolution par vidéo'!I4))</f>
        <v/>
      </c>
      <c r="J5" s="3">
        <f>IF('Évolution par vidéo'!J5="","",'Évolution par vidéo'!J5-N('Évolution par vidéo'!J4))</f>
        <v/>
      </c>
      <c r="K5" s="3">
        <f>IF('Évolution par vidéo'!K5="","",'Évolution par vidéo'!K5-N('Évolution par vidéo'!K4))</f>
        <v/>
      </c>
      <c r="L5" s="3">
        <f>IF('Évolution par vidéo'!L5="","",'Évolution par vidéo'!L5-N('Évolution par vidéo'!L4))</f>
        <v/>
      </c>
      <c r="M5" s="3">
        <f>IF('Évolution par vidéo'!M5="","",'Évolution par vidéo'!M5-N('Évolution par vidéo'!M4))</f>
        <v/>
      </c>
      <c r="N5" s="3">
        <f>IF('Évolution par vidéo'!N5="","",'Évolution par vidéo'!N5-N('Évolution par vidéo'!N4))</f>
        <v/>
      </c>
      <c r="O5" s="3">
        <f>IF('Évolution par vidéo'!O5="","",'Évolution par vidéo'!O5-N('Évolution par vidéo'!O4))</f>
        <v/>
      </c>
      <c r="P5" s="3">
        <f>IF('Évolution par vidéo'!P5="","",'Évolution par vidéo'!P5-N('Évolution par vidéo'!P4))</f>
        <v/>
      </c>
      <c r="Q5" s="3">
        <f>SUM(B5:P5)</f>
        <v/>
      </c>
    </row>
    <row r="6">
      <c r="A6" s="2" t="inlineStr">
        <is>
          <t>2026-10-22</t>
        </is>
      </c>
      <c r="B6" s="3">
        <f>IF('Évolution par vidéo'!B6="","",'Évolution par vidéo'!B6-N('Évolution par vidéo'!B5))</f>
        <v/>
      </c>
      <c r="C6" s="3">
        <f>IF('Évolution par vidéo'!C6="","",'Évolution par vidéo'!C6-N('Évolution par vidéo'!C5))</f>
        <v/>
      </c>
      <c r="D6" s="3">
        <f>IF('Évolution par vidéo'!D6="","",'Évolution par vidéo'!D6-N('Évolution par vidéo'!D5))</f>
        <v/>
      </c>
      <c r="E6" s="3">
        <f>IF('Évolution par vidéo'!E6="","",'Évolution par vidéo'!E6-N('Évolution par vidéo'!E5))</f>
        <v/>
      </c>
      <c r="F6" s="3">
        <f>IF('Évolution par vidéo'!F6="","",'Évolution par vidéo'!F6-N('Évolution par vidéo'!F5))</f>
        <v/>
      </c>
      <c r="G6" s="3">
        <f>IF('Évolution par vidéo'!G6="","",'Évolution par vidéo'!G6-N('Évolution par vidéo'!G5))</f>
        <v/>
      </c>
      <c r="H6" s="3">
        <f>IF('Évolution par vidéo'!H6="","",'Évolution par vidéo'!H6-N('Évolution par vidéo'!H5))</f>
        <v/>
      </c>
      <c r="I6" s="3">
        <f>IF('Évolution par vidéo'!I6="","",'Évolution par vidéo'!I6-N('Évolution par vidéo'!I5))</f>
        <v/>
      </c>
      <c r="J6" s="3">
        <f>IF('Évolution par vidéo'!J6="","",'Évolution par vidéo'!J6-N('Évolution par vidéo'!J5))</f>
        <v/>
      </c>
      <c r="K6" s="3">
        <f>IF('Évolution par vidéo'!K6="","",'Évolution par vidéo'!K6-N('Évolution par vidéo'!K5))</f>
        <v/>
      </c>
      <c r="L6" s="3">
        <f>IF('Évolution par vidéo'!L6="","",'Évolution par vidéo'!L6-N('Évolution par vidéo'!L5))</f>
        <v/>
      </c>
      <c r="M6" s="3">
        <f>IF('Évolution par vidéo'!M6="","",'Évolution par vidéo'!M6-N('Évolution par vidéo'!M5))</f>
        <v/>
      </c>
      <c r="N6" s="3">
        <f>IF('Évolution par vidéo'!N6="","",'Évolution par vidéo'!N6-N('Évolution par vidéo'!N5))</f>
        <v/>
      </c>
      <c r="O6" s="3">
        <f>IF('Évolution par vidéo'!O6="","",'Évolution par vidéo'!O6-N('Évolution par vidéo'!O5))</f>
        <v/>
      </c>
      <c r="P6" s="3">
        <f>IF('Évolution par vidéo'!P6="","",'Évolution par vidéo'!P6-N('Évolution par vidéo'!P5))</f>
        <v/>
      </c>
      <c r="Q6" s="3">
        <f>SUM(B6:P6)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 ht="32" customHeight="1">
      <c r="A1" s="1" t="inlineStr">
        <is>
          <t>Publiée le</t>
        </is>
      </c>
      <c r="B1" s="1" t="inlineStr">
        <is>
          <t>Vues</t>
        </is>
      </c>
      <c r="C1" s="1" t="inlineStr">
        <is>
          <t>Comptes touchés</t>
        </is>
      </c>
      <c r="D1" s="1" t="inlineStr">
        <is>
          <t>Réponses</t>
        </is>
      </c>
      <c r="E1" s="1" t="inlineStr">
        <is>
          <t>Partages</t>
        </is>
      </c>
      <c r="F1" s="1" t="inlineStr">
        <is>
          <t>Abonnements</t>
        </is>
      </c>
      <c r="G1" s="1" t="inlineStr">
        <is>
          <t>Visites du profil</t>
        </is>
      </c>
      <c r="H1" s="1" t="inlineStr">
        <is>
          <t>Interactions</t>
        </is>
      </c>
      <c r="I1" s="1" t="inlineStr">
        <is>
          <t>Lien</t>
        </is>
      </c>
    </row>
    <row r="2">
      <c r="A2" s="2" t="inlineStr">
        <is>
          <t>2026-10-17 17:45</t>
        </is>
      </c>
      <c r="B2" s="3" t="n">
        <v>4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1</v>
      </c>
      <c r="I2" s="2" t="inlineStr">
        <is>
          <t>ouvrir</t>
        </is>
      </c>
    </row>
    <row r="3">
      <c r="A3" s="2" t="inlineStr">
        <is>
          <t>2026-10-17 17:50</t>
        </is>
      </c>
      <c r="B3" s="3" t="n">
        <v>2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3</v>
      </c>
      <c r="I3" s="2" t="inlineStr">
        <is>
          <t>ouvrir</t>
        </is>
      </c>
    </row>
    <row r="4">
      <c r="A4" s="2" t="inlineStr">
        <is>
          <t>2026-10-18 10:14</t>
        </is>
      </c>
      <c r="B4" s="3" t="n">
        <v>5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1</v>
      </c>
      <c r="I4" s="2" t="inlineStr">
        <is>
          <t>ouvrir</t>
        </is>
      </c>
    </row>
    <row r="5">
      <c r="A5" s="2" t="inlineStr">
        <is>
          <t>2026-10-18 10:36</t>
        </is>
      </c>
      <c r="B5" s="3" t="n">
        <v>5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2" t="inlineStr">
        <is>
          <t>ouvrir</t>
        </is>
      </c>
    </row>
    <row r="6">
      <c r="A6" s="2" t="inlineStr">
        <is>
          <t>2026-10-18 13:04</t>
        </is>
      </c>
      <c r="B6" s="3" t="n">
        <v>4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2" t="inlineStr">
        <is>
          <t>ouvrir</t>
        </is>
      </c>
    </row>
    <row r="7">
      <c r="A7" s="2" t="inlineStr">
        <is>
          <t>2026-10-18 13:04</t>
        </is>
      </c>
      <c r="B7" s="3" t="n">
        <v>4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2" t="inlineStr">
        <is>
          <t>ouvrir</t>
        </is>
      </c>
    </row>
    <row r="8">
      <c r="A8" s="2" t="inlineStr">
        <is>
          <t>2026-10-18 13:53</t>
        </is>
      </c>
      <c r="B8" s="3" t="n">
        <v>4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</v>
      </c>
      <c r="I8" s="2" t="inlineStr">
        <is>
          <t>ouvrir</t>
        </is>
      </c>
    </row>
    <row r="9">
      <c r="A9" s="2" t="inlineStr">
        <is>
          <t>2026-10-18 19:51</t>
        </is>
      </c>
      <c r="B9" s="3" t="n">
        <v>5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2" t="inlineStr">
        <is>
          <t>ouvrir</t>
        </is>
      </c>
    </row>
    <row r="10">
      <c r="A10" s="2" t="inlineStr">
        <is>
          <t>2026-10-18 20:19</t>
        </is>
      </c>
      <c r="B10" s="3" t="n">
        <v>5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2" t="inlineStr">
        <is>
          <t>ouvrir</t>
        </is>
      </c>
    </row>
    <row r="11">
      <c r="A11" s="2" t="inlineStr">
        <is>
          <t>2026-10-19 06:14</t>
        </is>
      </c>
      <c r="B11" s="3" t="n">
        <v>3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1</v>
      </c>
      <c r="I11" s="2" t="inlineStr">
        <is>
          <t>ouvrir</t>
        </is>
      </c>
    </row>
    <row r="12">
      <c r="A12" s="2" t="inlineStr">
        <is>
          <t>2026-10-19 06:57</t>
        </is>
      </c>
      <c r="B12" s="3" t="n">
        <v>3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2" t="inlineStr">
        <is>
          <t>ouvrir</t>
        </is>
      </c>
    </row>
    <row r="13">
      <c r="A13" s="2" t="inlineStr">
        <is>
          <t>2026-10-19 08:14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2" t="inlineStr">
        <is>
          <t>ouvrir</t>
        </is>
      </c>
    </row>
    <row r="14">
      <c r="A14" s="2" t="inlineStr">
        <is>
          <t>2026-10-19 08:14</t>
        </is>
      </c>
      <c r="B14" s="3" t="n">
        <v>2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2" t="inlineStr">
        <is>
          <t>ouvrir</t>
        </is>
      </c>
    </row>
    <row r="15">
      <c r="A15" s="2" t="inlineStr">
        <is>
          <t>2026-10-19 08:18</t>
        </is>
      </c>
      <c r="B15" s="3" t="n">
        <v>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2" t="inlineStr">
        <is>
          <t>ouvrir</t>
        </is>
      </c>
    </row>
    <row r="16">
      <c r="A16" s="2" t="inlineStr">
        <is>
          <t>2026-10-19 09:09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2" t="inlineStr">
        <is>
          <t>ouvrir</t>
        </is>
      </c>
    </row>
    <row r="17">
      <c r="A17" s="2" t="inlineStr">
        <is>
          <t>2026-10-19 09:12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2" t="inlineStr">
        <is>
          <t>ouvrir</t>
        </is>
      </c>
    </row>
    <row r="18">
      <c r="A18" s="2" t="inlineStr">
        <is>
          <t>2026-10-19 09:13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2" t="inlineStr">
        <is>
          <t>ouvrir</t>
        </is>
      </c>
    </row>
    <row r="19">
      <c r="A19" s="2" t="inlineStr">
        <is>
          <t>2026-10-19 12:06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2" t="inlineStr">
        <is>
          <t>ouvrir</t>
        </is>
      </c>
    </row>
    <row r="20">
      <c r="A20" s="2" t="inlineStr">
        <is>
          <t>2026-10-19 12:06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2" t="inlineStr">
        <is>
          <t>ouvrir</t>
        </is>
      </c>
    </row>
    <row r="21">
      <c r="A21" s="2" t="inlineStr">
        <is>
          <t>2026-10-19 18:00</t>
        </is>
      </c>
      <c r="B21" s="3" t="n">
        <v>3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2" t="inlineStr">
        <is>
          <t>ouvrir</t>
        </is>
      </c>
    </row>
    <row r="22">
      <c r="A22" s="2" t="inlineStr">
        <is>
          <t>2026-10-20 08:15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2" t="inlineStr">
        <is>
          <t>ouvrir</t>
        </is>
      </c>
    </row>
    <row r="23">
      <c r="A23" s="2" t="inlineStr">
        <is>
          <t>2026-10-20 10:34</t>
        </is>
      </c>
      <c r="B23" s="3" t="n">
        <v>2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0</v>
      </c>
      <c r="I23" s="2" t="inlineStr">
        <is>
          <t>ouvrir</t>
        </is>
      </c>
    </row>
    <row r="24">
      <c r="A24" s="2" t="inlineStr">
        <is>
          <t>2026-10-20 10:34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2" t="inlineStr">
        <is>
          <t>ouvrir</t>
        </is>
      </c>
    </row>
    <row r="25">
      <c r="A25" s="2" t="inlineStr">
        <is>
          <t>2026-10-20 13:38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2" t="inlineStr">
        <is>
          <t>ouvrir</t>
        </is>
      </c>
    </row>
    <row r="26">
      <c r="A26" s="2" t="inlineStr">
        <is>
          <t>2026-10-20 16:07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2" t="inlineStr">
        <is>
          <t>ouvrir</t>
        </is>
      </c>
    </row>
    <row r="27">
      <c r="A27" s="2" t="inlineStr">
        <is>
          <t>2026-10-21 07:20</t>
        </is>
      </c>
      <c r="B27" s="3" t="n">
        <v>1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2" t="inlineStr">
        <is>
          <t>ouvrir</t>
        </is>
      </c>
    </row>
    <row r="28">
      <c r="A28" s="2" t="inlineStr">
        <is>
          <t>2026-10-21 08:03</t>
        </is>
      </c>
      <c r="B28" s="3" t="n">
        <v>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2" t="inlineStr">
        <is>
          <t>ouvrir</t>
        </is>
      </c>
    </row>
    <row r="29">
      <c r="A29" s="2" t="inlineStr">
        <is>
          <t>2026-10-21 10:05</t>
        </is>
      </c>
      <c r="B29" s="3" t="n">
        <v>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2" t="inlineStr">
        <is>
          <t>ouvrir</t>
        </is>
      </c>
    </row>
    <row r="30">
      <c r="A30" s="2" t="inlineStr">
        <is>
          <t>2026-10-21 12:08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2" t="inlineStr">
        <is>
          <t>ouvrir</t>
        </is>
      </c>
    </row>
    <row r="31">
      <c r="A31" s="2" t="inlineStr">
        <is>
          <t>2026-10-21 15:05</t>
        </is>
      </c>
      <c r="B31" s="3" t="n">
        <v>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2" t="inlineStr">
        <is>
          <t>ouvrir</t>
        </is>
      </c>
    </row>
    <row r="32">
      <c r="A32" s="2" t="inlineStr">
        <is>
          <t>2026-10-21 16:09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2" t="inlineStr">
        <is>
          <t>ouvrir</t>
        </is>
      </c>
    </row>
    <row r="33">
      <c r="A33" s="2" t="inlineStr">
        <is>
          <t>2026-10-22 08:13</t>
        </is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2" t="inlineStr">
        <is>
          <t>ouvrir</t>
        </is>
      </c>
    </row>
    <row r="34">
      <c r="A34" s="2" t="inlineStr">
        <is>
          <t>2026-10-22 12:09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2" t="inlineStr">
        <is>
          <t>ouvrir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</hyperlinks>
  <pageMargins left="0.75" right="0.75" top="1" bottom="1" header="0.5" footer="0.5"/>
  <drawing xmlns:r="http://schemas.openxmlformats.org/officeDocument/2006/relationships" r:id="rId34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Décodé · suivi du compte Décodé · Actu</t>
        </is>
      </c>
    </row>
    <row r="2">
      <c r="A2" s="8" t="inlineStr">
        <is>
          <t>Mis à jour automatiquement par l'agent 3 à chaque relevé (9 h et 16 h, heure de Paris).</t>
        </is>
      </c>
    </row>
    <row r="3">
      <c r="A3" s="8" t="inlineStr">
        <is>
          <t>Source : API Instagram (insights). Les vues et partages sont cumulés depuis la publication.</t>
        </is>
      </c>
    </row>
    <row r="4">
      <c r="A4" s="8" t="inlineStr">
        <is>
          <t>« Abonnés gagnés » et « Vues du jour » = différence avec le relevé de la veille (formules).</t>
        </is>
      </c>
    </row>
    <row r="5">
      <c r="A5" s="8" t="inlineStr">
        <is>
          <t>« Vues du jour par vidéo » = vues gagnées par chaque vidéo depuis le relevé de la veille.</t>
        </is>
      </c>
    </row>
    <row r="6">
      <c r="A6" s="8" t="inlineStr">
        <is>
          <t>Taux d'engagement = (likes + commentaires + partages + enregistrements) / comptes touchés.</t>
        </is>
      </c>
    </row>
    <row r="7">
      <c r="A7" s="8" t="inlineStr">
        <is>
          <t>Les statistiques d'une story ne sont lisibles que pendant ses 24 h : dernier relevé conservé.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2026-10-22T14:38:23Z</dcterms:created>
  <dcterms:modified xsi:type="dcterms:W3CDTF">2026-10-22T14:38:23Z</dcterms:modified>
</cp:coreProperties>
</file>