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jour'!$A$2:$A$11</f>
            </numRef>
          </cat>
          <val>
            <numRef>
              <f>'Jour par jour'!$B$2:$B$11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jour'!$A$2:$A$11</f>
            </numRef>
          </cat>
          <val>
            <numRef>
              <f>'Jour par jour'!$E$2:$E$11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jour'!$A$2:$A$11</f>
            </numRef>
          </cat>
          <val>
            <numRef>
              <f>'Jour par jour'!$L$2:$L$11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jour'!$A$2:$A$11</f>
            </numRef>
          </cat>
          <val>
            <numRef>
              <f>'Jour par jour'!$F$2:$F$11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jour'!$A$2:$A$11</f>
            </numRef>
          </cat>
          <val>
            <numRef>
              <f>'Jour par jour'!$H$2:$H$11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jour'!$A$2:$A$11</f>
            </numRef>
          </cat>
          <val>
            <numRef>
              <f>'Jour par jour'!$C$2:$C$11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vidéo'!$B$2:$B$11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vidéo'!$C$2:$C$11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vidéo'!$D$2:$D$11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vidéo'!$E$2:$E$11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vidéo'!$F$2:$F$11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vidéo'!$G$2:$G$11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vidéo'!$H$2:$H$11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vidéo'!$I$2:$I$11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vidéo'!$J$2:$J$11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vidéo'!$K$2:$K$11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vidéo'!$L$2:$L$11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vidéo'!$M$2:$M$11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vidéo'!$N$2:$N$11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vidéo'!$O$2:$O$11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vidéo'!$P$2:$P$11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vidéo'!$B$2:$B$11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vidéo'!$C$2:$C$11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vidéo'!$D$2:$D$11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vidéo'!$E$2:$E$11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vidéo'!$F$2:$F$11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vidéo'!$G$2:$G$11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vidéo'!$H$2:$H$11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vidéo'!$I$2:$I$11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vidéo'!$J$2:$J$11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vidéo'!$K$2:$K$11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vidéo'!$L$2:$L$11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vidéo'!$M$2:$M$11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vidéo'!$N$2:$N$11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vidéo'!$O$2:$O$11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vidéo'!$P$2:$P$11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heure'!$A$2:$A$43</f>
            </numRef>
          </cat>
          <val>
            <numRef>
              <f>'Heure par heure'!$C$2:$C$43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heure'!$A$2:$A$43</f>
            </numRef>
          </cat>
          <val>
            <numRef>
              <f>'Heure par heure'!$D$2:$D$43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heure'!$A$2:$A$43</f>
            </numRef>
          </cat>
          <val>
            <numRef>
              <f>'Heure par heure'!$E$2:$E$43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heure'!$A$2:$A$43</f>
            </numRef>
          </cat>
          <val>
            <numRef>
              <f>'Heure par heure'!$F$2:$F$43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heure'!$A$2:$A$43</f>
            </numRef>
          </cat>
          <val>
            <numRef>
              <f>'Heure par heure'!$G$2:$G$43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heure'!$A$2:$A$43</f>
            </numRef>
          </cat>
          <val>
            <numRef>
              <f>'Heure par heure'!$H$2:$H$43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heure'!$A$2:$A$43</f>
            </numRef>
          </cat>
          <val>
            <numRef>
              <f>'Heure par heure'!$I$2:$I$43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heure'!$A$2:$A$43</f>
            </numRef>
          </cat>
          <val>
            <numRef>
              <f>'Heure par heure'!$J$2:$J$43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heure'!$A$2:$A$43</f>
            </numRef>
          </cat>
          <val>
            <numRef>
              <f>'Heure par heure'!$K$2:$K$43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heure'!$A$2:$A$43</f>
            </numRef>
          </cat>
          <val>
            <numRef>
              <f>'Heure par heure'!$L$2:$L$43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heure'!$A$2:$A$43</f>
            </numRef>
          </cat>
          <val>
            <numRef>
              <f>'Heure par heure'!$B$2:$B$43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heure'!$A$2:$A$43</f>
            </numRef>
          </cat>
          <val>
            <numRef>
              <f>'Heure par heure'!$M$2:$M$43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heure'!$A$2:$A$43</f>
            </numRef>
          </cat>
          <val>
            <numRef>
              <f>'Vues gagnées par heure'!$B$2:$B$43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heure'!$A$2:$A$43</f>
            </numRef>
          </cat>
          <val>
            <numRef>
              <f>'Vues gagnées par heure'!$C$2:$C$43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heure'!$A$2:$A$43</f>
            </numRef>
          </cat>
          <val>
            <numRef>
              <f>'Vues gagnées par heure'!$D$2:$D$43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heure'!$A$2:$A$43</f>
            </numRef>
          </cat>
          <val>
            <numRef>
              <f>'Vues gagnées par heure'!$E$2:$E$43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heure'!$A$2:$A$43</f>
            </numRef>
          </cat>
          <val>
            <numRef>
              <f>'Vues gagnées par heure'!$F$2:$F$43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heure'!$A$2:$A$43</f>
            </numRef>
          </cat>
          <val>
            <numRef>
              <f>'Vues gagnées par heure'!$G$2:$G$43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heure'!$A$2:$A$43</f>
            </numRef>
          </cat>
          <val>
            <numRef>
              <f>'Vues gagnées par heure'!$H$2:$H$43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heure'!$A$2:$A$43</f>
            </numRef>
          </cat>
          <val>
            <numRef>
              <f>'Vues gagnées par heure'!$I$2:$I$43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heure'!$A$2:$A$43</f>
            </numRef>
          </cat>
          <val>
            <numRef>
              <f>'Vues gagnées par heure'!$J$2:$J$43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heure'!$A$2:$A$43</f>
            </numRef>
          </cat>
          <val>
            <numRef>
              <f>'Vues gagnées par heure'!$K$2:$K$43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'Stories'!$A$2:$A$47</f>
            </numRef>
          </cat>
          <val>
            <numRef>
              <f>'Stories'!$B$2:$B$47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62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62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45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rN1lWgqYL/" TargetMode="External" Id="rId1" /><Relationship Type="http://schemas.openxmlformats.org/officeDocument/2006/relationships/hyperlink" Target="https://www.instagram.com/reel/Der2bYjllOT/" TargetMode="External" Id="rId2" /><Relationship Type="http://schemas.openxmlformats.org/officeDocument/2006/relationships/hyperlink" Target="https://www.instagram.com/reel/DetoG3RDRGR/" TargetMode="External" Id="rId3" /><Relationship Type="http://schemas.openxmlformats.org/officeDocument/2006/relationships/hyperlink" Target="https://www.instagram.com/reel/DeuORmrje2X/" TargetMode="External" Id="rId4" /><Relationship Type="http://schemas.openxmlformats.org/officeDocument/2006/relationships/hyperlink" Target="https://www.instagram.com/reel/Dev7vAwiHPF/" TargetMode="External" Id="rId5" /><Relationship Type="http://schemas.openxmlformats.org/officeDocument/2006/relationships/hyperlink" Target="https://www.instagram.com/reel/DewXqdggjen/" TargetMode="External" Id="rId6" /><Relationship Type="http://schemas.openxmlformats.org/officeDocument/2006/relationships/hyperlink" Target="https://www.instagram.com/reel/DewzPEDkwDC/" TargetMode="External" Id="rId7" /><Relationship Type="http://schemas.openxmlformats.org/officeDocument/2006/relationships/hyperlink" Target="https://www.instagram.com/reel/Dey8pqJjxZe/" TargetMode="External" Id="rId8" /><Relationship Type="http://schemas.openxmlformats.org/officeDocument/2006/relationships/hyperlink" Target="https://www.instagram.com/reel/De4IrjoAfMV/" TargetMode="External" Id="rId9" /><Relationship Type="http://schemas.openxmlformats.org/officeDocument/2006/relationships/hyperlink" Target="https://www.instagram.com/reel/De4SjlaiLAP/" TargetMode="External" Id="rId10" /><Relationship Type="http://schemas.openxmlformats.org/officeDocument/2006/relationships/hyperlink" Target="https://www.instagram.com/reel/De4wFkgEjfv/" TargetMode="External" Id="rId11" /><Relationship Type="http://schemas.openxmlformats.org/officeDocument/2006/relationships/hyperlink" Target="https://www.instagram.com/reel/De63hUGjyxb/" TargetMode="External" Id="rId12" /><Relationship Type="http://schemas.openxmlformats.org/officeDocument/2006/relationships/hyperlink" Target="https://www.instagram.com/reel/De63r8EkQ6Y/" TargetMode="External" Id="rId13" /><Relationship Type="http://schemas.openxmlformats.org/officeDocument/2006/relationships/hyperlink" Target="https://www.instagram.com/reel/De7PS5wCqiN/" TargetMode="External" Id="rId14" /><Relationship Type="http://schemas.openxmlformats.org/officeDocument/2006/relationships/hyperlink" Target="https://www.instagram.com/reel/De_SOGKACX-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hyperlink" Target="https://www.instagram.com/stories/decodeactu/4015871364691326327" TargetMode="External" Id="rId45" /><Relationship Type="http://schemas.openxmlformats.org/officeDocument/2006/relationships/hyperlink" Target="https://www.instagram.com/stories/decodeactu/4017010250876675593" TargetMode="External" Id="rId46" /><Relationship Type="http://schemas.openxmlformats.org/officeDocument/2006/relationships/drawing" Target="/xl/drawings/drawing7.xml" Id="rId4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5</v>
      </c>
      <c r="M9" s="3" t="n">
        <v>2</v>
      </c>
    </row>
    <row r="10">
      <c r="A10" s="2" t="inlineStr">
        <is>
          <t>2026-10-26</t>
        </is>
      </c>
      <c r="B10" s="3" t="n">
        <v>7</v>
      </c>
      <c r="C10" s="3">
        <f>IF(ROW()=2,"",B10-B9)</f>
        <v/>
      </c>
      <c r="D10" s="3" t="n">
        <v>1864</v>
      </c>
      <c r="E10" s="3">
        <f>IF(ROW()=2,D10,D10-D9)</f>
        <v/>
      </c>
      <c r="F10" s="3" t="n">
        <v>373</v>
      </c>
      <c r="G10" s="3" t="n">
        <v>452</v>
      </c>
      <c r="H10" s="3" t="n">
        <v>7</v>
      </c>
      <c r="I10" s="3" t="n">
        <v>3</v>
      </c>
      <c r="J10" s="3" t="n">
        <v>8</v>
      </c>
      <c r="K10" s="3" t="n">
        <v>0</v>
      </c>
      <c r="L10" s="3" t="n">
        <v>0</v>
      </c>
      <c r="M10" s="3" t="n">
        <v>0</v>
      </c>
    </row>
    <row r="11">
      <c r="A11" s="2" t="inlineStr">
        <is>
          <t>2026-10-27</t>
        </is>
      </c>
      <c r="B11" s="3" t="n">
        <v>7</v>
      </c>
      <c r="C11" s="3">
        <f>IF(ROW()=2,"",B11-B10)</f>
        <v/>
      </c>
      <c r="D11" s="3" t="n">
        <v>1778</v>
      </c>
      <c r="E11" s="3">
        <f>IF(ROW()=2,D11,D11-D10)</f>
        <v/>
      </c>
      <c r="F11" s="3" t="n">
        <v>9</v>
      </c>
      <c r="G11" s="3" t="n">
        <v>14</v>
      </c>
      <c r="H11" s="3" t="n">
        <v>2</v>
      </c>
      <c r="I11" s="3" t="n">
        <v>1</v>
      </c>
      <c r="J11" s="3" t="n">
        <v>5</v>
      </c>
      <c r="K11" s="3" t="n">
        <v>0</v>
      </c>
      <c r="L11" s="3" t="n">
        <v>0</v>
      </c>
      <c r="M11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2026-10-19 12:05</t>
        </is>
      </c>
      <c r="B2" s="2" t="inlineStr">
        <is>
          <t xml:space="preserve">📩 « Jeudi 5 novembre, la France s'arrête. -A </t>
        </is>
      </c>
      <c r="C2" s="4" t="inlineStr">
        <is>
          <t>ouvrir</t>
        </is>
      </c>
      <c r="D2" s="3" t="n">
        <v>111</v>
      </c>
      <c r="E2" s="3" t="n">
        <v>104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2026-10-19 17:59</t>
        </is>
      </c>
      <c r="B3" s="2" t="inlineStr">
        <is>
          <t>📖 Il était une fois des agriculteurs en colèr</t>
        </is>
      </c>
      <c r="C3" s="4" t="inlineStr">
        <is>
          <t>ouvrir</t>
        </is>
      </c>
      <c r="D3" s="3" t="n">
        <v>79</v>
      </c>
      <c r="E3" s="3" t="n">
        <v>71</v>
      </c>
      <c r="F3" s="3" t="n">
        <v>1</v>
      </c>
      <c r="G3" s="3" t="n">
        <v>0</v>
      </c>
      <c r="H3" s="3" t="n">
        <v>0</v>
      </c>
      <c r="I3" s="3" t="n">
        <v>0</v>
      </c>
      <c r="J3" s="3" t="n">
        <v>1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2026-10-20 10:33</t>
        </is>
      </c>
      <c r="B4" s="2" t="inlineStr">
        <is>
          <t>Couvre-feux, manifs « encadrées, voire interd</t>
        </is>
      </c>
      <c r="C4" s="4" t="inlineStr">
        <is>
          <t>ouvrir</t>
        </is>
      </c>
      <c r="D4" s="3" t="n">
        <v>158</v>
      </c>
      <c r="E4" s="3" t="n">
        <v>141</v>
      </c>
      <c r="F4" s="3" t="n">
        <v>2</v>
      </c>
      <c r="G4" s="3" t="n">
        <v>0</v>
      </c>
      <c r="H4" s="3" t="n">
        <v>0</v>
      </c>
      <c r="I4" s="3" t="n">
        <v>2</v>
      </c>
      <c r="J4" s="3" t="n">
        <v>5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2026-10-20 16:07</t>
        </is>
      </c>
      <c r="B5" s="2" t="inlineStr">
        <is>
          <t>Couvre-feu pour les ados, 5,6 milliards envol</t>
        </is>
      </c>
      <c r="C5" s="4" t="inlineStr">
        <is>
          <t>ouvrir</t>
        </is>
      </c>
      <c r="D5" s="3" t="n">
        <v>108</v>
      </c>
      <c r="E5" s="3" t="n">
        <v>102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2026-10-21 08:03</t>
        </is>
      </c>
      <c r="B6" s="2" t="inlineStr">
        <is>
          <t>Les syndicats de salariés auraient-ils dû êtr</t>
        </is>
      </c>
      <c r="C6" s="4" t="inlineStr">
        <is>
          <t>ouvrir</t>
        </is>
      </c>
      <c r="D6" s="3" t="n">
        <v>105</v>
      </c>
      <c r="E6" s="3" t="n">
        <v>87</v>
      </c>
      <c r="F6" s="3" t="n">
        <v>1</v>
      </c>
      <c r="G6" s="3" t="n">
        <v>0</v>
      </c>
      <c r="H6" s="3" t="n">
        <v>0</v>
      </c>
      <c r="I6" s="3" t="n">
        <v>0</v>
      </c>
      <c r="J6" s="3" t="n">
        <v>1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2026-10-21 12:07</t>
        </is>
      </c>
      <c r="B7" s="2" t="inlineStr">
        <is>
          <t>À toi de juger : taxer les profits du pétrole</t>
        </is>
      </c>
      <c r="C7" s="4" t="inlineStr">
        <is>
          <t>ouvrir</t>
        </is>
      </c>
      <c r="D7" s="3" t="n">
        <v>128</v>
      </c>
      <c r="E7" s="3" t="n">
        <v>106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1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2026-10-21 16:08</t>
        </is>
      </c>
      <c r="B8" s="2" t="inlineStr">
        <is>
          <t>Gel des pensions : oui ou non ? Réponds en co</t>
        </is>
      </c>
      <c r="C8" s="4" t="inlineStr">
        <is>
          <t>ouvrir</t>
        </is>
      </c>
      <c r="D8" s="3" t="n">
        <v>114</v>
      </c>
      <c r="E8" s="3" t="n">
        <v>108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2026-10-22 12:09</t>
        </is>
      </c>
      <c r="B9" s="2" t="inlineStr">
        <is>
          <t>Couper les réseaux sociaux pendant les émeute</t>
        </is>
      </c>
      <c r="C9" s="4" t="inlineStr">
        <is>
          <t>ouvrir</t>
        </is>
      </c>
      <c r="D9" s="3" t="n">
        <v>76</v>
      </c>
      <c r="E9" s="3" t="n">
        <v>70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2026-10-24 12:30</t>
        </is>
      </c>
      <c r="B10" s="2" t="inlineStr">
        <is>
          <t>À toi de juger : il faut une enquête indépend</t>
        </is>
      </c>
      <c r="C10" s="4" t="inlineStr">
        <is>
          <t>ouvrir</t>
        </is>
      </c>
      <c r="D10" s="3" t="n">
        <v>133</v>
      </c>
      <c r="E10" s="3" t="n">
        <v>117</v>
      </c>
      <c r="F10" s="3" t="n">
        <v>1</v>
      </c>
      <c r="G10" s="3" t="n">
        <v>0</v>
      </c>
      <c r="H10" s="3" t="n">
        <v>0</v>
      </c>
      <c r="I10" s="3" t="n">
        <v>0</v>
      </c>
      <c r="J10" s="3" t="n">
        <v>2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2026-10-24 13:56</t>
        </is>
      </c>
      <c r="B11" s="2" t="inlineStr">
        <is>
          <t>« Oui, nous avons perdu le contrôle. » Le min</t>
        </is>
      </c>
      <c r="C11" s="4" t="inlineStr">
        <is>
          <t>ouvrir</t>
        </is>
      </c>
      <c r="D11" s="3" t="n">
        <v>244</v>
      </c>
      <c r="E11" s="3" t="n">
        <v>225</v>
      </c>
      <c r="F11" s="3" t="n">
        <v>4</v>
      </c>
      <c r="G11" s="3" t="n">
        <v>0</v>
      </c>
      <c r="H11" s="3" t="n">
        <v>0</v>
      </c>
      <c r="I11" s="3" t="n">
        <v>1</v>
      </c>
      <c r="J11" s="3" t="n">
        <v>5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2026-10-24 18:14</t>
        </is>
      </c>
      <c r="B12" s="2" t="inlineStr">
        <is>
          <t xml:space="preserve">Cinq infos de la semaine, une même logique : </t>
        </is>
      </c>
      <c r="C12" s="4" t="inlineStr">
        <is>
          <t>ouvrir</t>
        </is>
      </c>
      <c r="D12" s="3" t="n">
        <v>134</v>
      </c>
      <c r="E12" s="3" t="n">
        <v>115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2026-10-25 13:58</t>
        </is>
      </c>
      <c r="B13" s="2" t="inlineStr">
        <is>
          <t xml:space="preserve">Des millions publics promis. 244 salariés de </t>
        </is>
      </c>
      <c r="C13" s="4" t="inlineStr">
        <is>
          <t>ouvrir</t>
        </is>
      </c>
      <c r="D13" s="3" t="n">
        <v>114</v>
      </c>
      <c r="E13" s="3" t="n">
        <v>102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2026-10-25 13:59</t>
        </is>
      </c>
      <c r="B14" s="2" t="inlineStr">
        <is>
          <t>Vendredi, Macron au concert de Céline Dion. S</t>
        </is>
      </c>
      <c r="C14" s="4" t="inlineStr">
        <is>
          <t>ouvrir</t>
        </is>
      </c>
      <c r="D14" s="3" t="n">
        <v>130</v>
      </c>
      <c r="E14" s="3" t="n">
        <v>110</v>
      </c>
      <c r="F14" s="3" t="n">
        <v>1</v>
      </c>
      <c r="G14" s="3" t="n">
        <v>0</v>
      </c>
      <c r="H14" s="3" t="n">
        <v>0</v>
      </c>
      <c r="I14" s="3" t="n">
        <v>0</v>
      </c>
      <c r="J14" s="3" t="n">
        <v>1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2026-10-25 17:26</t>
        </is>
      </c>
      <c r="B15" s="2" t="inlineStr">
        <is>
          <t>2 513 gardes à vue et 67 incarcérations après</t>
        </is>
      </c>
      <c r="C15" s="4" t="inlineStr">
        <is>
          <t>ouvrir</t>
        </is>
      </c>
      <c r="D15" s="3" t="n">
        <v>118</v>
      </c>
      <c r="E15" s="3" t="n">
        <v>106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2026-10-27 07:08</t>
        </is>
      </c>
      <c r="B16" s="2" t="inlineStr">
        <is>
          <t xml:space="preserve">54 milliards d'efforts demandés aux Français </t>
        </is>
      </c>
      <c r="C16" s="4" t="inlineStr">
        <is>
          <t>ouvrir</t>
        </is>
      </c>
      <c r="D16" s="3" t="n">
        <v>26</v>
      </c>
      <c r="E16" s="3" t="n">
        <v>5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📩 « Jeudi 5 novembre, la Fra</t>
        </is>
      </c>
      <c r="C1" s="1" t="inlineStr">
        <is>
          <t>📖 Il était une fois des agri</t>
        </is>
      </c>
      <c r="D1" s="1" t="inlineStr">
        <is>
          <t>Couvre-feux, manifs « encadr</t>
        </is>
      </c>
      <c r="E1" s="1" t="inlineStr">
        <is>
          <t>Couvre-feu pour les ados, 5,</t>
        </is>
      </c>
      <c r="F1" s="1" t="inlineStr">
        <is>
          <t>Les syndicats de salariés au</t>
        </is>
      </c>
      <c r="G1" s="1" t="inlineStr">
        <is>
          <t>À toi de juger : taxer les p</t>
        </is>
      </c>
      <c r="H1" s="1" t="inlineStr">
        <is>
          <t>Gel des pensions : oui ou no</t>
        </is>
      </c>
      <c r="I1" s="1" t="inlineStr">
        <is>
          <t>Couper les réseaux sociaux p</t>
        </is>
      </c>
      <c r="J1" s="1" t="inlineStr">
        <is>
          <t>À toi de juger : il faut une</t>
        </is>
      </c>
      <c r="K1" s="1" t="inlineStr">
        <is>
          <t>« Oui, nous avons perdu le c</t>
        </is>
      </c>
      <c r="L1" s="1" t="inlineStr">
        <is>
          <t>Cinq infos de la semaine, un</t>
        </is>
      </c>
      <c r="M1" s="1" t="inlineStr">
        <is>
          <t>Des millions publics promis.</t>
        </is>
      </c>
      <c r="N1" s="1" t="inlineStr">
        <is>
          <t xml:space="preserve">Vendredi, Macron au concert </t>
        </is>
      </c>
      <c r="O1" s="1" t="inlineStr">
        <is>
          <t>2 513 gardes à vue et 67 inc</t>
        </is>
      </c>
      <c r="P1" s="1" t="inlineStr">
        <is>
          <t>54 milliards d'efforts deman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>
        <v>7</v>
      </c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111</v>
      </c>
      <c r="C4" s="3" t="n">
        <v>73</v>
      </c>
      <c r="D4" s="3" t="n">
        <v>63</v>
      </c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111</v>
      </c>
      <c r="C5" s="3" t="n">
        <v>79</v>
      </c>
      <c r="D5" s="3" t="n">
        <v>157</v>
      </c>
      <c r="E5" s="3" t="n">
        <v>105</v>
      </c>
      <c r="F5" s="3" t="n">
        <v>80</v>
      </c>
      <c r="G5" s="3" t="n">
        <v>69</v>
      </c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111</v>
      </c>
      <c r="C6" s="3" t="n">
        <v>79</v>
      </c>
      <c r="D6" s="3" t="n">
        <v>158</v>
      </c>
      <c r="E6" s="3" t="n">
        <v>106</v>
      </c>
      <c r="F6" s="3" t="n">
        <v>105</v>
      </c>
      <c r="G6" s="3" t="n">
        <v>128</v>
      </c>
      <c r="H6" s="3" t="n">
        <v>113</v>
      </c>
      <c r="I6" s="3" t="n">
        <v>32</v>
      </c>
      <c r="J6" s="3" t="n"/>
      <c r="K6" s="3" t="n"/>
      <c r="L6" s="3" t="n"/>
      <c r="M6" s="3" t="n"/>
      <c r="N6" s="3" t="n"/>
      <c r="O6" s="3" t="n"/>
      <c r="P6" s="3" t="n"/>
    </row>
    <row r="7">
      <c r="A7" s="2" t="inlineStr">
        <is>
          <t>2026-10-23</t>
        </is>
      </c>
      <c r="B7" s="3" t="n">
        <v>111</v>
      </c>
      <c r="C7" s="3" t="n">
        <v>79</v>
      </c>
      <c r="D7" s="3" t="n">
        <v>158</v>
      </c>
      <c r="E7" s="3" t="n">
        <v>106</v>
      </c>
      <c r="F7" s="3" t="n">
        <v>105</v>
      </c>
      <c r="G7" s="3" t="n">
        <v>128</v>
      </c>
      <c r="H7" s="3" t="n">
        <v>113</v>
      </c>
      <c r="I7" s="3" t="n">
        <v>74</v>
      </c>
      <c r="J7" s="3" t="n"/>
      <c r="K7" s="3" t="n"/>
      <c r="L7" s="3" t="n"/>
      <c r="M7" s="3" t="n"/>
      <c r="N7" s="3" t="n"/>
      <c r="O7" s="3" t="n"/>
      <c r="P7" s="3" t="n"/>
    </row>
    <row r="8">
      <c r="A8" s="2" t="inlineStr">
        <is>
          <t>2026-10-24</t>
        </is>
      </c>
      <c r="B8" s="3" t="n">
        <v>111</v>
      </c>
      <c r="C8" s="3" t="n">
        <v>79</v>
      </c>
      <c r="D8" s="3" t="n">
        <v>158</v>
      </c>
      <c r="E8" s="3" t="n">
        <v>108</v>
      </c>
      <c r="F8" s="3" t="n">
        <v>105</v>
      </c>
      <c r="G8" s="3" t="n">
        <v>128</v>
      </c>
      <c r="H8" s="3" t="n">
        <v>114</v>
      </c>
      <c r="I8" s="3" t="n">
        <v>76</v>
      </c>
      <c r="J8" s="3" t="n">
        <v>119</v>
      </c>
      <c r="K8" s="3" t="n">
        <v>6</v>
      </c>
      <c r="L8" s="3" t="n"/>
      <c r="M8" s="3" t="n"/>
      <c r="N8" s="3" t="n"/>
      <c r="O8" s="3" t="n"/>
      <c r="P8" s="3" t="n"/>
    </row>
    <row r="9">
      <c r="A9" s="2" t="inlineStr">
        <is>
          <t>2026-10-25</t>
        </is>
      </c>
      <c r="B9" s="3" t="n">
        <v>111</v>
      </c>
      <c r="C9" s="3" t="n">
        <v>79</v>
      </c>
      <c r="D9" s="3" t="n">
        <v>158</v>
      </c>
      <c r="E9" s="3" t="n">
        <v>108</v>
      </c>
      <c r="F9" s="3" t="n">
        <v>105</v>
      </c>
      <c r="G9" s="3" t="n">
        <v>128</v>
      </c>
      <c r="H9" s="3" t="n">
        <v>114</v>
      </c>
      <c r="I9" s="3" t="n">
        <v>76</v>
      </c>
      <c r="J9" s="3" t="n">
        <v>133</v>
      </c>
      <c r="K9" s="3" t="n">
        <v>241</v>
      </c>
      <c r="L9" s="3" t="n">
        <v>134</v>
      </c>
      <c r="M9" s="3" t="n">
        <v>10</v>
      </c>
      <c r="N9" s="3" t="n">
        <v>13</v>
      </c>
      <c r="O9" s="3" t="n"/>
      <c r="P9" s="3" t="n"/>
    </row>
    <row r="10">
      <c r="A10" s="2" t="inlineStr">
        <is>
          <t>2026-10-26</t>
        </is>
      </c>
      <c r="B10" s="3" t="n">
        <v>111</v>
      </c>
      <c r="C10" s="3" t="n">
        <v>79</v>
      </c>
      <c r="D10" s="3" t="n">
        <v>158</v>
      </c>
      <c r="E10" s="3" t="n">
        <v>108</v>
      </c>
      <c r="F10" s="3" t="n">
        <v>105</v>
      </c>
      <c r="G10" s="3" t="n">
        <v>128</v>
      </c>
      <c r="H10" s="3" t="n">
        <v>114</v>
      </c>
      <c r="I10" s="3" t="n">
        <v>76</v>
      </c>
      <c r="J10" s="3" t="n">
        <v>133</v>
      </c>
      <c r="K10" s="3" t="n">
        <v>244</v>
      </c>
      <c r="L10" s="3" t="n">
        <v>134</v>
      </c>
      <c r="M10" s="3" t="n">
        <v>114</v>
      </c>
      <c r="N10" s="3" t="n">
        <v>130</v>
      </c>
      <c r="O10" s="3" t="n">
        <v>117</v>
      </c>
      <c r="P10" s="3" t="n"/>
    </row>
    <row r="11">
      <c r="A11" s="2" t="inlineStr">
        <is>
          <t>2026-10-27</t>
        </is>
      </c>
      <c r="B11" s="3" t="n">
        <v>111</v>
      </c>
      <c r="C11" s="3" t="n">
        <v>79</v>
      </c>
      <c r="D11" s="3" t="n">
        <v>158</v>
      </c>
      <c r="E11" s="3" t="n">
        <v>108</v>
      </c>
      <c r="F11" s="3" t="n">
        <v>105</v>
      </c>
      <c r="G11" s="3" t="n">
        <v>128</v>
      </c>
      <c r="H11" s="3" t="n">
        <v>114</v>
      </c>
      <c r="I11" s="3" t="n">
        <v>76</v>
      </c>
      <c r="J11" s="3" t="n">
        <v>133</v>
      </c>
      <c r="K11" s="3" t="n">
        <v>244</v>
      </c>
      <c r="L11" s="3" t="n">
        <v>134</v>
      </c>
      <c r="M11" s="3" t="n">
        <v>114</v>
      </c>
      <c r="N11" s="3" t="n">
        <v>130</v>
      </c>
      <c r="O11" s="3" t="n">
        <v>118</v>
      </c>
      <c r="P11" s="3" t="n">
        <v>26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📩 « Jeudi 5 novembre, la Fra</t>
        </is>
      </c>
      <c r="C1" s="1" t="inlineStr">
        <is>
          <t>📖 Il était une fois des agri</t>
        </is>
      </c>
      <c r="D1" s="1" t="inlineStr">
        <is>
          <t>Couvre-feux, manifs « encadr</t>
        </is>
      </c>
      <c r="E1" s="1" t="inlineStr">
        <is>
          <t>Couvre-feu pour les ados, 5,</t>
        </is>
      </c>
      <c r="F1" s="1" t="inlineStr">
        <is>
          <t>Les syndicats de salariés au</t>
        </is>
      </c>
      <c r="G1" s="1" t="inlineStr">
        <is>
          <t>À toi de juger : taxer les p</t>
        </is>
      </c>
      <c r="H1" s="1" t="inlineStr">
        <is>
          <t>Gel des pensions : oui ou no</t>
        </is>
      </c>
      <c r="I1" s="1" t="inlineStr">
        <is>
          <t>Couper les réseaux sociaux p</t>
        </is>
      </c>
      <c r="J1" s="1" t="inlineStr">
        <is>
          <t>À toi de juger : il faut une</t>
        </is>
      </c>
      <c r="K1" s="1" t="inlineStr">
        <is>
          <t>« Oui, nous avons perdu le c</t>
        </is>
      </c>
      <c r="L1" s="1" t="inlineStr">
        <is>
          <t>Cinq infos de la semaine, un</t>
        </is>
      </c>
      <c r="M1" s="1" t="inlineStr">
        <is>
          <t>Des millions publics promis.</t>
        </is>
      </c>
      <c r="N1" s="1" t="inlineStr">
        <is>
          <t xml:space="preserve">Vendredi, Macron au concert </t>
        </is>
      </c>
      <c r="O1" s="1" t="inlineStr">
        <is>
          <t>2 513 gardes à vue et 67 inc</t>
        </is>
      </c>
      <c r="P1" s="1" t="inlineStr">
        <is>
          <t>54 milliards d'efforts deman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  <row r="10">
      <c r="A10" s="2" t="inlineStr">
        <is>
          <t>2026-10-26</t>
        </is>
      </c>
      <c r="B10" s="3">
        <f>IF('Évolution par vidéo'!B10="","",'Évolution par vidéo'!B10-N('Évolution par vidéo'!B9))</f>
        <v/>
      </c>
      <c r="C10" s="3">
        <f>IF('Évolution par vidéo'!C10="","",'Évolution par vidéo'!C10-N('Évolution par vidéo'!C9))</f>
        <v/>
      </c>
      <c r="D10" s="3">
        <f>IF('Évolution par vidéo'!D10="","",'Évolution par vidéo'!D10-N('Évolution par vidéo'!D9))</f>
        <v/>
      </c>
      <c r="E10" s="3">
        <f>IF('Évolution par vidéo'!E10="","",'Évolution par vidéo'!E10-N('Évolution par vidéo'!E9))</f>
        <v/>
      </c>
      <c r="F10" s="3">
        <f>IF('Évolution par vidéo'!F10="","",'Évolution par vidéo'!F10-N('Évolution par vidéo'!F9))</f>
        <v/>
      </c>
      <c r="G10" s="3">
        <f>IF('Évolution par vidéo'!G10="","",'Évolution par vidéo'!G10-N('Évolution par vidéo'!G9))</f>
        <v/>
      </c>
      <c r="H10" s="3">
        <f>IF('Évolution par vidéo'!H10="","",'Évolution par vidéo'!H10-N('Évolution par vidéo'!H9))</f>
        <v/>
      </c>
      <c r="I10" s="3">
        <f>IF('Évolution par vidéo'!I10="","",'Évolution par vidéo'!I10-N('Évolution par vidéo'!I9))</f>
        <v/>
      </c>
      <c r="J10" s="3">
        <f>IF('Évolution par vidéo'!J10="","",'Évolution par vidéo'!J10-N('Évolution par vidéo'!J9))</f>
        <v/>
      </c>
      <c r="K10" s="3">
        <f>IF('Évolution par vidéo'!K10="","",'Évolution par vidéo'!K10-N('Évolution par vidéo'!K9))</f>
        <v/>
      </c>
      <c r="L10" s="3">
        <f>IF('Évolution par vidéo'!L10="","",'Évolution par vidéo'!L10-N('Évolution par vidéo'!L9))</f>
        <v/>
      </c>
      <c r="M10" s="3">
        <f>IF('Évolution par vidéo'!M10="","",'Évolution par vidéo'!M10-N('Évolution par vidéo'!M9))</f>
        <v/>
      </c>
      <c r="N10" s="3">
        <f>IF('Évolution par vidéo'!N10="","",'Évolution par vidéo'!N10-N('Évolution par vidéo'!N9))</f>
        <v/>
      </c>
      <c r="O10" s="3">
        <f>IF('Évolution par vidéo'!O10="","",'Évolution par vidéo'!O10-N('Évolution par vidéo'!O9))</f>
        <v/>
      </c>
      <c r="P10" s="3">
        <f>IF('Évolution par vidéo'!P10="","",'Évolution par vidéo'!P10-N('Évolution par vidéo'!P9))</f>
        <v/>
      </c>
      <c r="Q10" s="3">
        <f>SUM(B10:P10)</f>
        <v/>
      </c>
    </row>
    <row r="11">
      <c r="A11" s="2" t="inlineStr">
        <is>
          <t>2026-10-27</t>
        </is>
      </c>
      <c r="B11" s="3">
        <f>IF('Évolution par vidéo'!B11="","",'Évolution par vidéo'!B11-N('Évolution par vidéo'!B10))</f>
        <v/>
      </c>
      <c r="C11" s="3">
        <f>IF('Évolution par vidéo'!C11="","",'Évolution par vidéo'!C11-N('Évolution par vidéo'!C10))</f>
        <v/>
      </c>
      <c r="D11" s="3">
        <f>IF('Évolution par vidéo'!D11="","",'Évolution par vidéo'!D11-N('Évolution par vidéo'!D10))</f>
        <v/>
      </c>
      <c r="E11" s="3">
        <f>IF('Évolution par vidéo'!E11="","",'Évolution par vidéo'!E11-N('Évolution par vidéo'!E10))</f>
        <v/>
      </c>
      <c r="F11" s="3">
        <f>IF('Évolution par vidéo'!F11="","",'Évolution par vidéo'!F11-N('Évolution par vidéo'!F10))</f>
        <v/>
      </c>
      <c r="G11" s="3">
        <f>IF('Évolution par vidéo'!G11="","",'Évolution par vidéo'!G11-N('Évolution par vidéo'!G10))</f>
        <v/>
      </c>
      <c r="H11" s="3">
        <f>IF('Évolution par vidéo'!H11="","",'Évolution par vidéo'!H11-N('Évolution par vidéo'!H10))</f>
        <v/>
      </c>
      <c r="I11" s="3">
        <f>IF('Évolution par vidéo'!I11="","",'Évolution par vidéo'!I11-N('Évolution par vidéo'!I10))</f>
        <v/>
      </c>
      <c r="J11" s="3">
        <f>IF('Évolution par vidéo'!J11="","",'Évolution par vidéo'!J11-N('Évolution par vidéo'!J10))</f>
        <v/>
      </c>
      <c r="K11" s="3">
        <f>IF('Évolution par vidéo'!K11="","",'Évolution par vidéo'!K11-N('Évolution par vidéo'!K10))</f>
        <v/>
      </c>
      <c r="L11" s="3">
        <f>IF('Évolution par vidéo'!L11="","",'Évolution par vidéo'!L11-N('Évolution par vidéo'!L10))</f>
        <v/>
      </c>
      <c r="M11" s="3">
        <f>IF('Évolution par vidéo'!M11="","",'Évolution par vidéo'!M11-N('Évolution par vidéo'!M10))</f>
        <v/>
      </c>
      <c r="N11" s="3">
        <f>IF('Évolution par vidéo'!N11="","",'Évolution par vidéo'!N11-N('Évolution par vidéo'!N10))</f>
        <v/>
      </c>
      <c r="O11" s="3">
        <f>IF('Évolution par vidéo'!O11="","",'Évolution par vidéo'!O11-N('Évolution par vidéo'!O10))</f>
        <v/>
      </c>
      <c r="P11" s="3">
        <f>IF('Évolution par vidéo'!P11="","",'Évolution par vidéo'!P11-N('Évolution par vidéo'!P10))</f>
        <v/>
      </c>
      <c r="Q11" s="3">
        <f>SUM(B11:P11)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À toi de juger : taxer</t>
        </is>
      </c>
      <c r="D1" s="1" t="inlineStr">
        <is>
          <t>10-21 Gel des pensions : oui</t>
        </is>
      </c>
      <c r="E1" s="1" t="inlineStr">
        <is>
          <t>10-22 Couper les réseaux soc</t>
        </is>
      </c>
      <c r="F1" s="1" t="inlineStr">
        <is>
          <t>10-24 À toi de juger : il fa</t>
        </is>
      </c>
      <c r="G1" s="1" t="inlineStr">
        <is>
          <t>10-24 « Oui, nous avons perd</t>
        </is>
      </c>
      <c r="H1" s="1" t="inlineStr">
        <is>
          <t>10-24 Cinq infos de la semai</t>
        </is>
      </c>
      <c r="I1" s="1" t="inlineStr">
        <is>
          <t>10-25 Des millions publics p</t>
        </is>
      </c>
      <c r="J1" s="1" t="inlineStr">
        <is>
          <t>10-25 Vendredi, Macron au co</t>
        </is>
      </c>
      <c r="K1" s="1" t="inlineStr">
        <is>
          <t xml:space="preserve">10-25 2 513 gardes à vue et </t>
        </is>
      </c>
      <c r="L1" s="1" t="inlineStr">
        <is>
          <t>10-27 54 milliards d'efforts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128</v>
      </c>
      <c r="D2" s="3" t="n">
        <v>114</v>
      </c>
      <c r="E2" s="3" t="n">
        <v>76</v>
      </c>
      <c r="F2" s="3" t="n">
        <v>119</v>
      </c>
      <c r="G2" s="3" t="n">
        <v>124</v>
      </c>
      <c r="H2" s="3" t="n"/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128</v>
      </c>
      <c r="D3" s="3" t="n">
        <v>114</v>
      </c>
      <c r="E3" s="3" t="n">
        <v>76</v>
      </c>
      <c r="F3" s="3" t="n">
        <v>119</v>
      </c>
      <c r="G3" s="3" t="n">
        <v>130</v>
      </c>
      <c r="H3" s="3" t="n"/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128</v>
      </c>
      <c r="D4" s="3" t="n">
        <v>114</v>
      </c>
      <c r="E4" s="3" t="n">
        <v>76</v>
      </c>
      <c r="F4" s="3" t="n">
        <v>119</v>
      </c>
      <c r="G4" s="3" t="n">
        <v>135</v>
      </c>
      <c r="H4" s="3" t="n"/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128</v>
      </c>
      <c r="D5" s="3" t="n">
        <v>114</v>
      </c>
      <c r="E5" s="3" t="n">
        <v>76</v>
      </c>
      <c r="F5" s="3" t="n">
        <v>120</v>
      </c>
      <c r="G5" s="3" t="n">
        <v>137</v>
      </c>
      <c r="H5" s="3" t="n">
        <v>0</v>
      </c>
      <c r="I5" s="3" t="n"/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128</v>
      </c>
      <c r="D6" s="3" t="n">
        <v>114</v>
      </c>
      <c r="E6" s="3" t="n">
        <v>76</v>
      </c>
      <c r="F6" s="3" t="n">
        <v>120</v>
      </c>
      <c r="G6" s="3" t="n">
        <v>137</v>
      </c>
      <c r="H6" s="3" t="n">
        <v>34</v>
      </c>
      <c r="I6" s="3" t="n"/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128</v>
      </c>
      <c r="D7" s="3" t="n">
        <v>114</v>
      </c>
      <c r="E7" s="3" t="n">
        <v>76</v>
      </c>
      <c r="F7" s="3" t="n">
        <v>120</v>
      </c>
      <c r="G7" s="3" t="n">
        <v>137</v>
      </c>
      <c r="H7" s="3" t="n">
        <v>44</v>
      </c>
      <c r="I7" s="3" t="n"/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128</v>
      </c>
      <c r="D8" s="3" t="n">
        <v>114</v>
      </c>
      <c r="E8" s="3" t="n">
        <v>76</v>
      </c>
      <c r="F8" s="3" t="n">
        <v>120</v>
      </c>
      <c r="G8" s="3" t="n">
        <v>138</v>
      </c>
      <c r="H8" s="3" t="n">
        <v>70</v>
      </c>
      <c r="I8" s="3" t="n"/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128</v>
      </c>
      <c r="D9" s="3" t="n">
        <v>114</v>
      </c>
      <c r="E9" s="3" t="n">
        <v>76</v>
      </c>
      <c r="F9" s="3" t="n">
        <v>125</v>
      </c>
      <c r="G9" s="3" t="n">
        <v>167</v>
      </c>
      <c r="H9" s="3" t="n">
        <v>133</v>
      </c>
      <c r="I9" s="3" t="n"/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128</v>
      </c>
      <c r="D10" s="3" t="n">
        <v>114</v>
      </c>
      <c r="E10" s="3" t="n">
        <v>76</v>
      </c>
      <c r="F10" s="3" t="n">
        <v>127</v>
      </c>
      <c r="G10" s="3" t="n">
        <v>172</v>
      </c>
      <c r="H10" s="3" t="n">
        <v>133</v>
      </c>
      <c r="I10" s="3" t="n"/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128</v>
      </c>
      <c r="D11" s="3" t="n">
        <v>114</v>
      </c>
      <c r="E11" s="3" t="n">
        <v>76</v>
      </c>
      <c r="F11" s="3" t="n">
        <v>127</v>
      </c>
      <c r="G11" s="3" t="n">
        <v>180</v>
      </c>
      <c r="H11" s="3" t="n">
        <v>133</v>
      </c>
      <c r="I11" s="3" t="n"/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128</v>
      </c>
      <c r="D12" s="3" t="n">
        <v>114</v>
      </c>
      <c r="E12" s="3" t="n">
        <v>76</v>
      </c>
      <c r="F12" s="3" t="n">
        <v>127</v>
      </c>
      <c r="G12" s="3" t="n">
        <v>188</v>
      </c>
      <c r="H12" s="3" t="n">
        <v>134</v>
      </c>
      <c r="I12" s="3" t="n"/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128</v>
      </c>
      <c r="D13" s="3" t="n">
        <v>114</v>
      </c>
      <c r="E13" s="3" t="n">
        <v>76</v>
      </c>
      <c r="F13" s="3" t="n">
        <v>130</v>
      </c>
      <c r="G13" s="3" t="n">
        <v>199</v>
      </c>
      <c r="H13" s="3" t="n">
        <v>134</v>
      </c>
      <c r="I13" s="3" t="n"/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128</v>
      </c>
      <c r="D14" s="3" t="n">
        <v>114</v>
      </c>
      <c r="E14" s="3" t="n">
        <v>76</v>
      </c>
      <c r="F14" s="3" t="n">
        <v>131</v>
      </c>
      <c r="G14" s="3" t="n">
        <v>204</v>
      </c>
      <c r="H14" s="3" t="n">
        <v>134</v>
      </c>
      <c r="I14" s="3" t="n"/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128</v>
      </c>
      <c r="D15" s="3" t="n">
        <v>114</v>
      </c>
      <c r="E15" s="3" t="n">
        <v>76</v>
      </c>
      <c r="F15" s="3" t="n">
        <v>133</v>
      </c>
      <c r="G15" s="3" t="n">
        <v>219</v>
      </c>
      <c r="H15" s="3" t="n">
        <v>134</v>
      </c>
      <c r="I15" s="3" t="n"/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128</v>
      </c>
      <c r="D16" s="3" t="n">
        <v>114</v>
      </c>
      <c r="E16" s="3" t="n">
        <v>76</v>
      </c>
      <c r="F16" s="3" t="n">
        <v>133</v>
      </c>
      <c r="G16" s="3" t="n">
        <v>228</v>
      </c>
      <c r="H16" s="3" t="n">
        <v>134</v>
      </c>
      <c r="I16" s="3" t="n"/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128</v>
      </c>
      <c r="D17" s="3" t="n">
        <v>114</v>
      </c>
      <c r="E17" s="3" t="n">
        <v>76</v>
      </c>
      <c r="F17" s="3" t="n">
        <v>133</v>
      </c>
      <c r="G17" s="3" t="n">
        <v>235</v>
      </c>
      <c r="H17" s="3" t="n">
        <v>134</v>
      </c>
      <c r="I17" s="3" t="n"/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128</v>
      </c>
      <c r="D18" s="3" t="n">
        <v>114</v>
      </c>
      <c r="E18" s="3" t="n">
        <v>76</v>
      </c>
      <c r="F18" s="3" t="n">
        <v>133</v>
      </c>
      <c r="G18" s="3" t="n">
        <v>240</v>
      </c>
      <c r="H18" s="3" t="n">
        <v>134</v>
      </c>
      <c r="I18" s="3" t="n">
        <v>0</v>
      </c>
      <c r="J18" s="3" t="n">
        <v>0</v>
      </c>
      <c r="K18" s="3" t="n"/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128</v>
      </c>
      <c r="D19" s="3" t="n">
        <v>114</v>
      </c>
      <c r="E19" s="3" t="n">
        <v>76</v>
      </c>
      <c r="F19" s="3" t="n">
        <v>133</v>
      </c>
      <c r="G19" s="3" t="n">
        <v>242</v>
      </c>
      <c r="H19" s="3" t="n">
        <v>134</v>
      </c>
      <c r="I19" s="3" t="n">
        <v>24</v>
      </c>
      <c r="J19" s="3" t="n">
        <v>53</v>
      </c>
      <c r="K19" s="3" t="n"/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128</v>
      </c>
      <c r="D20" s="3" t="n">
        <v>114</v>
      </c>
      <c r="E20" s="3" t="n">
        <v>76</v>
      </c>
      <c r="F20" s="3" t="n">
        <v>133</v>
      </c>
      <c r="G20" s="3" t="n">
        <v>242</v>
      </c>
      <c r="H20" s="3" t="n">
        <v>134</v>
      </c>
      <c r="I20" s="3" t="n">
        <v>26</v>
      </c>
      <c r="J20" s="3" t="n">
        <v>80</v>
      </c>
      <c r="K20" s="3" t="n"/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128</v>
      </c>
      <c r="D21" s="3" t="n">
        <v>114</v>
      </c>
      <c r="E21" s="3" t="n">
        <v>76</v>
      </c>
      <c r="F21" s="3" t="n">
        <v>133</v>
      </c>
      <c r="G21" s="3" t="n">
        <v>242</v>
      </c>
      <c r="H21" s="3" t="n">
        <v>134</v>
      </c>
      <c r="I21" s="3" t="n">
        <v>35</v>
      </c>
      <c r="J21" s="3" t="n">
        <v>128</v>
      </c>
      <c r="K21" s="3" t="n">
        <v>0</v>
      </c>
      <c r="L21" s="3" t="n"/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128</v>
      </c>
      <c r="D22" s="3" t="n">
        <v>114</v>
      </c>
      <c r="E22" s="3" t="n">
        <v>76</v>
      </c>
      <c r="F22" s="3" t="n">
        <v>133</v>
      </c>
      <c r="G22" s="3" t="n">
        <v>243</v>
      </c>
      <c r="H22" s="3" t="n">
        <v>134</v>
      </c>
      <c r="I22" s="3" t="n">
        <v>35</v>
      </c>
      <c r="J22" s="3" t="n">
        <v>129</v>
      </c>
      <c r="K22" s="3" t="n">
        <v>43</v>
      </c>
      <c r="L22" s="3" t="n"/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128</v>
      </c>
      <c r="D23" s="3" t="n">
        <v>114</v>
      </c>
      <c r="E23" s="3" t="n">
        <v>76</v>
      </c>
      <c r="F23" s="3" t="n">
        <v>133</v>
      </c>
      <c r="G23" s="3" t="n">
        <v>243</v>
      </c>
      <c r="H23" s="3" t="n">
        <v>134</v>
      </c>
      <c r="I23" s="3" t="n">
        <v>41</v>
      </c>
      <c r="J23" s="3" t="n">
        <v>129</v>
      </c>
      <c r="K23" s="3" t="n">
        <v>64</v>
      </c>
      <c r="L23" s="3" t="n"/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128</v>
      </c>
      <c r="D24" s="3" t="n">
        <v>114</v>
      </c>
      <c r="E24" s="3" t="n">
        <v>76</v>
      </c>
      <c r="F24" s="3" t="n">
        <v>133</v>
      </c>
      <c r="G24" s="3" t="n">
        <v>244</v>
      </c>
      <c r="H24" s="3" t="n">
        <v>134</v>
      </c>
      <c r="I24" s="3" t="n">
        <v>62</v>
      </c>
      <c r="J24" s="3" t="n">
        <v>129</v>
      </c>
      <c r="K24" s="3" t="n">
        <v>99</v>
      </c>
      <c r="L24" s="3" t="n"/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128</v>
      </c>
      <c r="D25" s="3" t="n">
        <v>114</v>
      </c>
      <c r="E25" s="3" t="n">
        <v>76</v>
      </c>
      <c r="F25" s="3" t="n">
        <v>133</v>
      </c>
      <c r="G25" s="3" t="n">
        <v>244</v>
      </c>
      <c r="H25" s="3" t="n">
        <v>134</v>
      </c>
      <c r="I25" s="3" t="n">
        <v>88</v>
      </c>
      <c r="J25" s="3" t="n">
        <v>129</v>
      </c>
      <c r="K25" s="3" t="n">
        <v>111</v>
      </c>
      <c r="L25" s="3" t="n"/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128</v>
      </c>
      <c r="D26" s="3" t="n">
        <v>114</v>
      </c>
      <c r="E26" s="3" t="n">
        <v>76</v>
      </c>
      <c r="F26" s="3" t="n">
        <v>133</v>
      </c>
      <c r="G26" s="3" t="n">
        <v>244</v>
      </c>
      <c r="H26" s="3" t="n">
        <v>134</v>
      </c>
      <c r="I26" s="3" t="n">
        <v>113</v>
      </c>
      <c r="J26" s="3" t="n">
        <v>129</v>
      </c>
      <c r="K26" s="3" t="n">
        <v>115</v>
      </c>
      <c r="L26" s="3" t="n"/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128</v>
      </c>
      <c r="D27" s="3" t="n">
        <v>114</v>
      </c>
      <c r="E27" s="3" t="n">
        <v>76</v>
      </c>
      <c r="F27" s="3" t="n">
        <v>133</v>
      </c>
      <c r="G27" s="3" t="n">
        <v>244</v>
      </c>
      <c r="H27" s="3" t="n">
        <v>134</v>
      </c>
      <c r="I27" s="3" t="n">
        <v>113</v>
      </c>
      <c r="J27" s="3" t="n">
        <v>129</v>
      </c>
      <c r="K27" s="3" t="n">
        <v>115</v>
      </c>
      <c r="L27" s="3" t="n"/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128</v>
      </c>
      <c r="D28" s="3" t="n">
        <v>114</v>
      </c>
      <c r="E28" s="3" t="n">
        <v>76</v>
      </c>
      <c r="F28" s="3" t="n">
        <v>133</v>
      </c>
      <c r="G28" s="3" t="n">
        <v>244</v>
      </c>
      <c r="H28" s="3" t="n">
        <v>134</v>
      </c>
      <c r="I28" s="3" t="n">
        <v>113</v>
      </c>
      <c r="J28" s="3" t="n">
        <v>129</v>
      </c>
      <c r="K28" s="3" t="n">
        <v>115</v>
      </c>
      <c r="L28" s="3" t="n"/>
      <c r="M28" s="3">
        <f>SUM(C28:L28)</f>
        <v/>
      </c>
    </row>
    <row r="29">
      <c r="A29" s="2" t="inlineStr">
        <is>
          <t>2026-10-26 09:00</t>
        </is>
      </c>
      <c r="B29" s="3" t="n">
        <v>7</v>
      </c>
      <c r="C29" s="3" t="n">
        <v>128</v>
      </c>
      <c r="D29" s="3" t="n">
        <v>114</v>
      </c>
      <c r="E29" s="3" t="n">
        <v>76</v>
      </c>
      <c r="F29" s="3" t="n">
        <v>133</v>
      </c>
      <c r="G29" s="3" t="n">
        <v>244</v>
      </c>
      <c r="H29" s="3" t="n">
        <v>134</v>
      </c>
      <c r="I29" s="3" t="n">
        <v>114</v>
      </c>
      <c r="J29" s="3" t="n">
        <v>130</v>
      </c>
      <c r="K29" s="3" t="n">
        <v>116</v>
      </c>
      <c r="L29" s="3" t="n"/>
      <c r="M29" s="3">
        <f>SUM(C29:L29)</f>
        <v/>
      </c>
    </row>
    <row r="30">
      <c r="A30" s="2" t="inlineStr">
        <is>
          <t>2026-10-26 10:00</t>
        </is>
      </c>
      <c r="B30" s="3" t="n">
        <v>7</v>
      </c>
      <c r="C30" s="3" t="n">
        <v>128</v>
      </c>
      <c r="D30" s="3" t="n">
        <v>114</v>
      </c>
      <c r="E30" s="3" t="n">
        <v>76</v>
      </c>
      <c r="F30" s="3" t="n">
        <v>133</v>
      </c>
      <c r="G30" s="3" t="n">
        <v>244</v>
      </c>
      <c r="H30" s="3" t="n">
        <v>134</v>
      </c>
      <c r="I30" s="3" t="n">
        <v>114</v>
      </c>
      <c r="J30" s="3" t="n">
        <v>130</v>
      </c>
      <c r="K30" s="3" t="n">
        <v>116</v>
      </c>
      <c r="L30" s="3" t="n"/>
      <c r="M30" s="3">
        <f>SUM(C30:L30)</f>
        <v/>
      </c>
    </row>
    <row r="31">
      <c r="A31" s="2" t="inlineStr">
        <is>
          <t>2026-10-26 11:00</t>
        </is>
      </c>
      <c r="B31" s="3" t="n">
        <v>7</v>
      </c>
      <c r="C31" s="3" t="n">
        <v>128</v>
      </c>
      <c r="D31" s="3" t="n">
        <v>114</v>
      </c>
      <c r="E31" s="3" t="n">
        <v>76</v>
      </c>
      <c r="F31" s="3" t="n">
        <v>133</v>
      </c>
      <c r="G31" s="3" t="n">
        <v>244</v>
      </c>
      <c r="H31" s="3" t="n">
        <v>134</v>
      </c>
      <c r="I31" s="3" t="n">
        <v>114</v>
      </c>
      <c r="J31" s="3" t="n">
        <v>130</v>
      </c>
      <c r="K31" s="3" t="n">
        <v>116</v>
      </c>
      <c r="L31" s="3" t="n"/>
      <c r="M31" s="3">
        <f>SUM(C31:L31)</f>
        <v/>
      </c>
    </row>
    <row r="32">
      <c r="A32" s="2" t="inlineStr">
        <is>
          <t>2026-10-26 12:00</t>
        </is>
      </c>
      <c r="B32" s="3" t="n">
        <v>7</v>
      </c>
      <c r="C32" s="3" t="n">
        <v>128</v>
      </c>
      <c r="D32" s="3" t="n">
        <v>114</v>
      </c>
      <c r="E32" s="3" t="n">
        <v>76</v>
      </c>
      <c r="F32" s="3" t="n">
        <v>133</v>
      </c>
      <c r="G32" s="3" t="n">
        <v>244</v>
      </c>
      <c r="H32" s="3" t="n">
        <v>134</v>
      </c>
      <c r="I32" s="3" t="n">
        <v>114</v>
      </c>
      <c r="J32" s="3" t="n">
        <v>130</v>
      </c>
      <c r="K32" s="3" t="n">
        <v>116</v>
      </c>
      <c r="L32" s="3" t="n"/>
      <c r="M32" s="3">
        <f>SUM(C32:L32)</f>
        <v/>
      </c>
    </row>
    <row r="33">
      <c r="A33" s="2" t="inlineStr">
        <is>
          <t>2026-10-26 14:00</t>
        </is>
      </c>
      <c r="B33" s="3" t="n">
        <v>7</v>
      </c>
      <c r="C33" s="3" t="n">
        <v>128</v>
      </c>
      <c r="D33" s="3" t="n">
        <v>114</v>
      </c>
      <c r="E33" s="3" t="n">
        <v>76</v>
      </c>
      <c r="F33" s="3" t="n">
        <v>133</v>
      </c>
      <c r="G33" s="3" t="n">
        <v>244</v>
      </c>
      <c r="H33" s="3" t="n">
        <v>134</v>
      </c>
      <c r="I33" s="3" t="n">
        <v>114</v>
      </c>
      <c r="J33" s="3" t="n">
        <v>130</v>
      </c>
      <c r="K33" s="3" t="n">
        <v>117</v>
      </c>
      <c r="L33" s="3" t="n"/>
      <c r="M33" s="3">
        <f>SUM(C33:L33)</f>
        <v/>
      </c>
    </row>
    <row r="34">
      <c r="A34" s="2" t="inlineStr">
        <is>
          <t>2026-10-26 16:00</t>
        </is>
      </c>
      <c r="B34" s="3" t="n">
        <v>7</v>
      </c>
      <c r="C34" s="3" t="n">
        <v>128</v>
      </c>
      <c r="D34" s="3" t="n">
        <v>114</v>
      </c>
      <c r="E34" s="3" t="n">
        <v>76</v>
      </c>
      <c r="F34" s="3" t="n">
        <v>133</v>
      </c>
      <c r="G34" s="3" t="n">
        <v>244</v>
      </c>
      <c r="H34" s="3" t="n">
        <v>134</v>
      </c>
      <c r="I34" s="3" t="n">
        <v>114</v>
      </c>
      <c r="J34" s="3" t="n">
        <v>130</v>
      </c>
      <c r="K34" s="3" t="n">
        <v>117</v>
      </c>
      <c r="L34" s="3" t="n"/>
      <c r="M34" s="3">
        <f>SUM(C34:L34)</f>
        <v/>
      </c>
    </row>
    <row r="35">
      <c r="A35" s="2" t="inlineStr">
        <is>
          <t>2026-10-26 17:00</t>
        </is>
      </c>
      <c r="B35" s="3" t="n">
        <v>7</v>
      </c>
      <c r="C35" s="3" t="n">
        <v>128</v>
      </c>
      <c r="D35" s="3" t="n">
        <v>114</v>
      </c>
      <c r="E35" s="3" t="n">
        <v>76</v>
      </c>
      <c r="F35" s="3" t="n">
        <v>133</v>
      </c>
      <c r="G35" s="3" t="n">
        <v>244</v>
      </c>
      <c r="H35" s="3" t="n">
        <v>134</v>
      </c>
      <c r="I35" s="3" t="n">
        <v>114</v>
      </c>
      <c r="J35" s="3" t="n">
        <v>130</v>
      </c>
      <c r="K35" s="3" t="n">
        <v>117</v>
      </c>
      <c r="L35" s="3" t="n"/>
      <c r="M35" s="3">
        <f>SUM(C35:L35)</f>
        <v/>
      </c>
    </row>
    <row r="36">
      <c r="A36" s="2" t="inlineStr">
        <is>
          <t>2026-10-26 18:00</t>
        </is>
      </c>
      <c r="B36" s="3" t="n">
        <v>7</v>
      </c>
      <c r="C36" s="3" t="n">
        <v>128</v>
      </c>
      <c r="D36" s="3" t="n">
        <v>114</v>
      </c>
      <c r="E36" s="3" t="n">
        <v>76</v>
      </c>
      <c r="F36" s="3" t="n">
        <v>133</v>
      </c>
      <c r="G36" s="3" t="n">
        <v>244</v>
      </c>
      <c r="H36" s="3" t="n">
        <v>134</v>
      </c>
      <c r="I36" s="3" t="n">
        <v>114</v>
      </c>
      <c r="J36" s="3" t="n">
        <v>130</v>
      </c>
      <c r="K36" s="3" t="n">
        <v>117</v>
      </c>
      <c r="L36" s="3" t="n"/>
      <c r="M36" s="3">
        <f>SUM(C36:L36)</f>
        <v/>
      </c>
    </row>
    <row r="37">
      <c r="A37" s="2" t="inlineStr">
        <is>
          <t>2026-10-26 19:00</t>
        </is>
      </c>
      <c r="B37" s="3" t="n">
        <v>7</v>
      </c>
      <c r="C37" s="3" t="n">
        <v>128</v>
      </c>
      <c r="D37" s="3" t="n">
        <v>114</v>
      </c>
      <c r="E37" s="3" t="n">
        <v>76</v>
      </c>
      <c r="F37" s="3" t="n">
        <v>133</v>
      </c>
      <c r="G37" s="3" t="n">
        <v>244</v>
      </c>
      <c r="H37" s="3" t="n">
        <v>134</v>
      </c>
      <c r="I37" s="3" t="n">
        <v>114</v>
      </c>
      <c r="J37" s="3" t="n">
        <v>130</v>
      </c>
      <c r="K37" s="3" t="n">
        <v>117</v>
      </c>
      <c r="L37" s="3" t="n"/>
      <c r="M37" s="3">
        <f>SUM(C37:L37)</f>
        <v/>
      </c>
    </row>
    <row r="38">
      <c r="A38" s="2" t="inlineStr">
        <is>
          <t>2026-10-26 20:00</t>
        </is>
      </c>
      <c r="B38" s="3" t="n">
        <v>7</v>
      </c>
      <c r="C38" s="3" t="n">
        <v>128</v>
      </c>
      <c r="D38" s="3" t="n">
        <v>114</v>
      </c>
      <c r="E38" s="3" t="n">
        <v>76</v>
      </c>
      <c r="F38" s="3" t="n">
        <v>133</v>
      </c>
      <c r="G38" s="3" t="n">
        <v>244</v>
      </c>
      <c r="H38" s="3" t="n">
        <v>134</v>
      </c>
      <c r="I38" s="3" t="n">
        <v>114</v>
      </c>
      <c r="J38" s="3" t="n">
        <v>130</v>
      </c>
      <c r="K38" s="3" t="n">
        <v>117</v>
      </c>
      <c r="L38" s="3" t="n"/>
      <c r="M38" s="3">
        <f>SUM(C38:L38)</f>
        <v/>
      </c>
    </row>
    <row r="39">
      <c r="A39" s="2" t="inlineStr">
        <is>
          <t>2026-10-26 21:00</t>
        </is>
      </c>
      <c r="B39" s="3" t="n">
        <v>7</v>
      </c>
      <c r="C39" s="3" t="n">
        <v>128</v>
      </c>
      <c r="D39" s="3" t="n">
        <v>114</v>
      </c>
      <c r="E39" s="3" t="n">
        <v>76</v>
      </c>
      <c r="F39" s="3" t="n">
        <v>133</v>
      </c>
      <c r="G39" s="3" t="n">
        <v>244</v>
      </c>
      <c r="H39" s="3" t="n">
        <v>134</v>
      </c>
      <c r="I39" s="3" t="n">
        <v>114</v>
      </c>
      <c r="J39" s="3" t="n">
        <v>130</v>
      </c>
      <c r="K39" s="3" t="n">
        <v>117</v>
      </c>
      <c r="L39" s="3" t="n"/>
      <c r="M39" s="3">
        <f>SUM(C39:L39)</f>
        <v/>
      </c>
    </row>
    <row r="40">
      <c r="A40" s="2" t="inlineStr">
        <is>
          <t>2026-10-27 08:00</t>
        </is>
      </c>
      <c r="B40" s="3" t="n">
        <v>7</v>
      </c>
      <c r="C40" s="3" t="n">
        <v>128</v>
      </c>
      <c r="D40" s="3" t="n">
        <v>114</v>
      </c>
      <c r="E40" s="3" t="n">
        <v>76</v>
      </c>
      <c r="F40" s="3" t="n">
        <v>133</v>
      </c>
      <c r="G40" s="3" t="n">
        <v>244</v>
      </c>
      <c r="H40" s="3" t="n">
        <v>134</v>
      </c>
      <c r="I40" s="3" t="n">
        <v>114</v>
      </c>
      <c r="J40" s="3" t="n">
        <v>130</v>
      </c>
      <c r="K40" s="3" t="n">
        <v>118</v>
      </c>
      <c r="L40" s="3" t="n">
        <v>0</v>
      </c>
      <c r="M40" s="3">
        <f>SUM(C40:L40)</f>
        <v/>
      </c>
    </row>
    <row r="41">
      <c r="A41" s="2" t="inlineStr">
        <is>
          <t>2026-10-27 09:00</t>
        </is>
      </c>
      <c r="B41" s="3" t="n">
        <v>7</v>
      </c>
      <c r="C41" s="3" t="n">
        <v>128</v>
      </c>
      <c r="D41" s="3" t="n">
        <v>114</v>
      </c>
      <c r="E41" s="3" t="n">
        <v>76</v>
      </c>
      <c r="F41" s="3" t="n">
        <v>133</v>
      </c>
      <c r="G41" s="3" t="n">
        <v>244</v>
      </c>
      <c r="H41" s="3" t="n">
        <v>134</v>
      </c>
      <c r="I41" s="3" t="n">
        <v>114</v>
      </c>
      <c r="J41" s="3" t="n">
        <v>130</v>
      </c>
      <c r="K41" s="3" t="n">
        <v>118</v>
      </c>
      <c r="L41" s="3" t="n">
        <v>46</v>
      </c>
      <c r="M41" s="3">
        <f>SUM(C41:L41)</f>
        <v/>
      </c>
    </row>
    <row r="42">
      <c r="A42" s="2" t="inlineStr">
        <is>
          <t>2026-10-27 10:00</t>
        </is>
      </c>
      <c r="B42" s="3" t="n">
        <v>7</v>
      </c>
      <c r="C42" s="3" t="n">
        <v>128</v>
      </c>
      <c r="D42" s="3" t="n">
        <v>114</v>
      </c>
      <c r="E42" s="3" t="n">
        <v>76</v>
      </c>
      <c r="F42" s="3" t="n">
        <v>133</v>
      </c>
      <c r="G42" s="3" t="n">
        <v>244</v>
      </c>
      <c r="H42" s="3" t="n">
        <v>134</v>
      </c>
      <c r="I42" s="3" t="n">
        <v>114</v>
      </c>
      <c r="J42" s="3" t="n">
        <v>130</v>
      </c>
      <c r="K42" s="3" t="n">
        <v>118</v>
      </c>
      <c r="L42" s="3" t="n">
        <v>77</v>
      </c>
      <c r="M42" s="3">
        <f>SUM(C42:L42)</f>
        <v/>
      </c>
    </row>
    <row r="43">
      <c r="A43" s="2" t="inlineStr">
        <is>
          <t>2026-10-27 11:00</t>
        </is>
      </c>
      <c r="B43" s="3" t="n">
        <v>7</v>
      </c>
      <c r="C43" s="3" t="n">
        <v>128</v>
      </c>
      <c r="D43" s="3" t="n">
        <v>114</v>
      </c>
      <c r="E43" s="3" t="n">
        <v>76</v>
      </c>
      <c r="F43" s="3" t="n">
        <v>133</v>
      </c>
      <c r="G43" s="3" t="n">
        <v>244</v>
      </c>
      <c r="H43" s="3" t="n">
        <v>134</v>
      </c>
      <c r="I43" s="3" t="n">
        <v>114</v>
      </c>
      <c r="J43" s="3" t="n">
        <v>130</v>
      </c>
      <c r="K43" s="3" t="n">
        <v>118</v>
      </c>
      <c r="L43" s="3" t="n">
        <v>83</v>
      </c>
      <c r="M43" s="3">
        <f>SUM(C43:L43)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À toi de juger : taxer</t>
        </is>
      </c>
      <c r="C1" s="1" t="inlineStr">
        <is>
          <t>10-21 Gel des pensions : oui</t>
        </is>
      </c>
      <c r="D1" s="1" t="inlineStr">
        <is>
          <t>10-22 Couper les réseaux soc</t>
        </is>
      </c>
      <c r="E1" s="1" t="inlineStr">
        <is>
          <t>10-24 À toi de juger : il fa</t>
        </is>
      </c>
      <c r="F1" s="1" t="inlineStr">
        <is>
          <t>10-24 « Oui, nous avons perd</t>
        </is>
      </c>
      <c r="G1" s="1" t="inlineStr">
        <is>
          <t>10-24 Cinq infos de la semai</t>
        </is>
      </c>
      <c r="H1" s="1" t="inlineStr">
        <is>
          <t>10-25 Des millions publics p</t>
        </is>
      </c>
      <c r="I1" s="1" t="inlineStr">
        <is>
          <t>10-25 Vendredi, Macron au co</t>
        </is>
      </c>
      <c r="J1" s="1" t="inlineStr">
        <is>
          <t xml:space="preserve">10-25 2 513 gardes à vue et </t>
        </is>
      </c>
      <c r="K1" s="1" t="inlineStr">
        <is>
          <t>10-27 54 milliards d'efforts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IF('Heure par heure'!G29="","",'Heure par heure'!G29-N('Heure par heure'!G28))</f>
        <v/>
      </c>
      <c r="G29" s="3">
        <f>IF('Heure par heure'!H29="","",'Heure par heure'!H29-N('Heure par heure'!H28))</f>
        <v/>
      </c>
      <c r="H29" s="3">
        <f>IF('Heure par heure'!I29="","",'Heure par heure'!I29-N('Heure par heure'!I28))</f>
        <v/>
      </c>
      <c r="I29" s="3">
        <f>IF('Heure par heure'!J29="","",'Heure par heure'!J29-N('Heure par heure'!J28))</f>
        <v/>
      </c>
      <c r="J29" s="3">
        <f>IF('Heure par heure'!K29="","",'Heure par heure'!K29-N('Heure par heure'!K28))</f>
        <v/>
      </c>
      <c r="K29" s="3">
        <f>IF('Heure par heure'!L29="","",'Heure par heure'!L29-N('Heure par heure'!L28))</f>
        <v/>
      </c>
      <c r="L29" s="3">
        <f>SUM(B29:K29)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IF('Heure par heure'!G30="","",'Heure par heure'!G30-N('Heure par heure'!G29))</f>
        <v/>
      </c>
      <c r="G30" s="3">
        <f>IF('Heure par heure'!H30="","",'Heure par heure'!H30-N('Heure par heure'!H29))</f>
        <v/>
      </c>
      <c r="H30" s="3">
        <f>IF('Heure par heure'!I30="","",'Heure par heure'!I30-N('Heure par heure'!I29))</f>
        <v/>
      </c>
      <c r="I30" s="3">
        <f>IF('Heure par heure'!J30="","",'Heure par heure'!J30-N('Heure par heure'!J29))</f>
        <v/>
      </c>
      <c r="J30" s="3">
        <f>IF('Heure par heure'!K30="","",'Heure par heure'!K30-N('Heure par heure'!K29))</f>
        <v/>
      </c>
      <c r="K30" s="3">
        <f>IF('Heure par heure'!L30="","",'Heure par heure'!L30-N('Heure par heure'!L29))</f>
        <v/>
      </c>
      <c r="L30" s="3">
        <f>SUM(B30:K30)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IF('Heure par heure'!G31="","",'Heure par heure'!G31-N('Heure par heure'!G30))</f>
        <v/>
      </c>
      <c r="G31" s="3">
        <f>IF('Heure par heure'!H31="","",'Heure par heure'!H31-N('Heure par heure'!H30))</f>
        <v/>
      </c>
      <c r="H31" s="3">
        <f>IF('Heure par heure'!I31="","",'Heure par heure'!I31-N('Heure par heure'!I30))</f>
        <v/>
      </c>
      <c r="I31" s="3">
        <f>IF('Heure par heure'!J31="","",'Heure par heure'!J31-N('Heure par heure'!J30))</f>
        <v/>
      </c>
      <c r="J31" s="3">
        <f>IF('Heure par heure'!K31="","",'Heure par heure'!K31-N('Heure par heure'!K30))</f>
        <v/>
      </c>
      <c r="K31" s="3">
        <f>IF('Heure par heure'!L31="","",'Heure par heure'!L31-N('Heure par heure'!L30))</f>
        <v/>
      </c>
      <c r="L31" s="3">
        <f>SUM(B31:K31)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IF('Heure par heure'!G32="","",'Heure par heure'!G32-N('Heure par heure'!G31))</f>
        <v/>
      </c>
      <c r="G32" s="3">
        <f>IF('Heure par heure'!H32="","",'Heure par heure'!H32-N('Heure par heure'!H31))</f>
        <v/>
      </c>
      <c r="H32" s="3">
        <f>IF('Heure par heure'!I32="","",'Heure par heure'!I32-N('Heure par heure'!I31))</f>
        <v/>
      </c>
      <c r="I32" s="3">
        <f>IF('Heure par heure'!J32="","",'Heure par heure'!J32-N('Heure par heure'!J31))</f>
        <v/>
      </c>
      <c r="J32" s="3">
        <f>IF('Heure par heure'!K32="","",'Heure par heure'!K32-N('Heure par heure'!K31))</f>
        <v/>
      </c>
      <c r="K32" s="3">
        <f>IF('Heure par heure'!L32="","",'Heure par heure'!L32-N('Heure par heure'!L31))</f>
        <v/>
      </c>
      <c r="L32" s="3">
        <f>SUM(B32:K32)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IF('Heure par heure'!G33="","",'Heure par heure'!G33-N('Heure par heure'!G32))</f>
        <v/>
      </c>
      <c r="G33" s="3">
        <f>IF('Heure par heure'!H33="","",'Heure par heure'!H33-N('Heure par heure'!H32))</f>
        <v/>
      </c>
      <c r="H33" s="3">
        <f>IF('Heure par heure'!I33="","",'Heure par heure'!I33-N('Heure par heure'!I32))</f>
        <v/>
      </c>
      <c r="I33" s="3">
        <f>IF('Heure par heure'!J33="","",'Heure par heure'!J33-N('Heure par heure'!J32))</f>
        <v/>
      </c>
      <c r="J33" s="3">
        <f>IF('Heure par heure'!K33="","",'Heure par heure'!K33-N('Heure par heure'!K32))</f>
        <v/>
      </c>
      <c r="K33" s="3">
        <f>IF('Heure par heure'!L33="","",'Heure par heure'!L33-N('Heure par heure'!L32))</f>
        <v/>
      </c>
      <c r="L33" s="3">
        <f>SUM(B33:K33)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IF('Heure par heure'!G34="","",'Heure par heure'!G34-N('Heure par heure'!G33))</f>
        <v/>
      </c>
      <c r="G34" s="3">
        <f>IF('Heure par heure'!H34="","",'Heure par heure'!H34-N('Heure par heure'!H33))</f>
        <v/>
      </c>
      <c r="H34" s="3">
        <f>IF('Heure par heure'!I34="","",'Heure par heure'!I34-N('Heure par heure'!I33))</f>
        <v/>
      </c>
      <c r="I34" s="3">
        <f>IF('Heure par heure'!J34="","",'Heure par heure'!J34-N('Heure par heure'!J33))</f>
        <v/>
      </c>
      <c r="J34" s="3">
        <f>IF('Heure par heure'!K34="","",'Heure par heure'!K34-N('Heure par heure'!K33))</f>
        <v/>
      </c>
      <c r="K34" s="3">
        <f>IF('Heure par heure'!L34="","",'Heure par heure'!L34-N('Heure par heure'!L33))</f>
        <v/>
      </c>
      <c r="L34" s="3">
        <f>SUM(B34:K34)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IF('Heure par heure'!G35="","",'Heure par heure'!G35-N('Heure par heure'!G34))</f>
        <v/>
      </c>
      <c r="G35" s="3">
        <f>IF('Heure par heure'!H35="","",'Heure par heure'!H35-N('Heure par heure'!H34))</f>
        <v/>
      </c>
      <c r="H35" s="3">
        <f>IF('Heure par heure'!I35="","",'Heure par heure'!I35-N('Heure par heure'!I34))</f>
        <v/>
      </c>
      <c r="I35" s="3">
        <f>IF('Heure par heure'!J35="","",'Heure par heure'!J35-N('Heure par heure'!J34))</f>
        <v/>
      </c>
      <c r="J35" s="3">
        <f>IF('Heure par heure'!K35="","",'Heure par heure'!K35-N('Heure par heure'!K34))</f>
        <v/>
      </c>
      <c r="K35" s="3">
        <f>IF('Heure par heure'!L35="","",'Heure par heure'!L35-N('Heure par heure'!L34))</f>
        <v/>
      </c>
      <c r="L35" s="3">
        <f>SUM(B35:K35)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IF('Heure par heure'!G36="","",'Heure par heure'!G36-N('Heure par heure'!G35))</f>
        <v/>
      </c>
      <c r="G36" s="3">
        <f>IF('Heure par heure'!H36="","",'Heure par heure'!H36-N('Heure par heure'!H35))</f>
        <v/>
      </c>
      <c r="H36" s="3">
        <f>IF('Heure par heure'!I36="","",'Heure par heure'!I36-N('Heure par heure'!I35))</f>
        <v/>
      </c>
      <c r="I36" s="3">
        <f>IF('Heure par heure'!J36="","",'Heure par heure'!J36-N('Heure par heure'!J35))</f>
        <v/>
      </c>
      <c r="J36" s="3">
        <f>IF('Heure par heure'!K36="","",'Heure par heure'!K36-N('Heure par heure'!K35))</f>
        <v/>
      </c>
      <c r="K36" s="3">
        <f>IF('Heure par heure'!L36="","",'Heure par heure'!L36-N('Heure par heure'!L35))</f>
        <v/>
      </c>
      <c r="L36" s="3">
        <f>SUM(B36:K36)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IF('Heure par heure'!G37="","",'Heure par heure'!G37-N('Heure par heure'!G36))</f>
        <v/>
      </c>
      <c r="G37" s="3">
        <f>IF('Heure par heure'!H37="","",'Heure par heure'!H37-N('Heure par heure'!H36))</f>
        <v/>
      </c>
      <c r="H37" s="3">
        <f>IF('Heure par heure'!I37="","",'Heure par heure'!I37-N('Heure par heure'!I36))</f>
        <v/>
      </c>
      <c r="I37" s="3">
        <f>IF('Heure par heure'!J37="","",'Heure par heure'!J37-N('Heure par heure'!J36))</f>
        <v/>
      </c>
      <c r="J37" s="3">
        <f>IF('Heure par heure'!K37="","",'Heure par heure'!K37-N('Heure par heure'!K36))</f>
        <v/>
      </c>
      <c r="K37" s="3">
        <f>IF('Heure par heure'!L37="","",'Heure par heure'!L37-N('Heure par heure'!L36))</f>
        <v/>
      </c>
      <c r="L37" s="3">
        <f>SUM(B37:K37)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IF('Heure par heure'!G38="","",'Heure par heure'!G38-N('Heure par heure'!G37))</f>
        <v/>
      </c>
      <c r="G38" s="3">
        <f>IF('Heure par heure'!H38="","",'Heure par heure'!H38-N('Heure par heure'!H37))</f>
        <v/>
      </c>
      <c r="H38" s="3">
        <f>IF('Heure par heure'!I38="","",'Heure par heure'!I38-N('Heure par heure'!I37))</f>
        <v/>
      </c>
      <c r="I38" s="3">
        <f>IF('Heure par heure'!J38="","",'Heure par heure'!J38-N('Heure par heure'!J37))</f>
        <v/>
      </c>
      <c r="J38" s="3">
        <f>IF('Heure par heure'!K38="","",'Heure par heure'!K38-N('Heure par heure'!K37))</f>
        <v/>
      </c>
      <c r="K38" s="3">
        <f>IF('Heure par heure'!L38="","",'Heure par heure'!L38-N('Heure par heure'!L37))</f>
        <v/>
      </c>
      <c r="L38" s="3">
        <f>SUM(B38:K38)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IF('Heure par heure'!G39="","",'Heure par heure'!G39-N('Heure par heure'!G38))</f>
        <v/>
      </c>
      <c r="G39" s="3">
        <f>IF('Heure par heure'!H39="","",'Heure par heure'!H39-N('Heure par heure'!H38))</f>
        <v/>
      </c>
      <c r="H39" s="3">
        <f>IF('Heure par heure'!I39="","",'Heure par heure'!I39-N('Heure par heure'!I38))</f>
        <v/>
      </c>
      <c r="I39" s="3">
        <f>IF('Heure par heure'!J39="","",'Heure par heure'!J39-N('Heure par heure'!J38))</f>
        <v/>
      </c>
      <c r="J39" s="3">
        <f>IF('Heure par heure'!K39="","",'Heure par heure'!K39-N('Heure par heure'!K38))</f>
        <v/>
      </c>
      <c r="K39" s="3">
        <f>IF('Heure par heure'!L39="","",'Heure par heure'!L39-N('Heure par heure'!L38))</f>
        <v/>
      </c>
      <c r="L39" s="3">
        <f>SUM(B39:K39)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IF('Heure par heure'!G40="","",'Heure par heure'!G40-N('Heure par heure'!G39))</f>
        <v/>
      </c>
      <c r="G40" s="3">
        <f>IF('Heure par heure'!H40="","",'Heure par heure'!H40-N('Heure par heure'!H39))</f>
        <v/>
      </c>
      <c r="H40" s="3">
        <f>IF('Heure par heure'!I40="","",'Heure par heure'!I40-N('Heure par heure'!I39))</f>
        <v/>
      </c>
      <c r="I40" s="3">
        <f>IF('Heure par heure'!J40="","",'Heure par heure'!J40-N('Heure par heure'!J39))</f>
        <v/>
      </c>
      <c r="J40" s="3">
        <f>IF('Heure par heure'!K40="","",'Heure par heure'!K40-N('Heure par heure'!K39))</f>
        <v/>
      </c>
      <c r="K40" s="3">
        <f>IF('Heure par heure'!L40="","",'Heure par heure'!L40-N('Heure par heure'!L39))</f>
        <v/>
      </c>
      <c r="L40" s="3">
        <f>SUM(B40:K40)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IF('Heure par heure'!G41="","",'Heure par heure'!G41-N('Heure par heure'!G40))</f>
        <v/>
      </c>
      <c r="G41" s="3">
        <f>IF('Heure par heure'!H41="","",'Heure par heure'!H41-N('Heure par heure'!H40))</f>
        <v/>
      </c>
      <c r="H41" s="3">
        <f>IF('Heure par heure'!I41="","",'Heure par heure'!I41-N('Heure par heure'!I40))</f>
        <v/>
      </c>
      <c r="I41" s="3">
        <f>IF('Heure par heure'!J41="","",'Heure par heure'!J41-N('Heure par heure'!J40))</f>
        <v/>
      </c>
      <c r="J41" s="3">
        <f>IF('Heure par heure'!K41="","",'Heure par heure'!K41-N('Heure par heure'!K40))</f>
        <v/>
      </c>
      <c r="K41" s="3">
        <f>IF('Heure par heure'!L41="","",'Heure par heure'!L41-N('Heure par heure'!L40))</f>
        <v/>
      </c>
      <c r="L41" s="3">
        <f>SUM(B41:K41)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IF('Heure par heure'!G42="","",'Heure par heure'!G42-N('Heure par heure'!G41))</f>
        <v/>
      </c>
      <c r="G42" s="3">
        <f>IF('Heure par heure'!H42="","",'Heure par heure'!H42-N('Heure par heure'!H41))</f>
        <v/>
      </c>
      <c r="H42" s="3">
        <f>IF('Heure par heure'!I42="","",'Heure par heure'!I42-N('Heure par heure'!I41))</f>
        <v/>
      </c>
      <c r="I42" s="3">
        <f>IF('Heure par heure'!J42="","",'Heure par heure'!J42-N('Heure par heure'!J41))</f>
        <v/>
      </c>
      <c r="J42" s="3">
        <f>IF('Heure par heure'!K42="","",'Heure par heure'!K42-N('Heure par heure'!K41))</f>
        <v/>
      </c>
      <c r="K42" s="3">
        <f>IF('Heure par heure'!L42="","",'Heure par heure'!L42-N('Heure par heure'!L41))</f>
        <v/>
      </c>
      <c r="L42" s="3">
        <f>SUM(B42:K42)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IF('Heure par heure'!G43="","",'Heure par heure'!G43-N('Heure par heure'!G42))</f>
        <v/>
      </c>
      <c r="G43" s="3">
        <f>IF('Heure par heure'!H43="","",'Heure par heure'!H43-N('Heure par heure'!H42))</f>
        <v/>
      </c>
      <c r="H43" s="3">
        <f>IF('Heure par heure'!I43="","",'Heure par heure'!I43-N('Heure par heure'!I42))</f>
        <v/>
      </c>
      <c r="I43" s="3">
        <f>IF('Heure par heure'!J43="","",'Heure par heure'!J43-N('Heure par heure'!J42))</f>
        <v/>
      </c>
      <c r="J43" s="3">
        <f>IF('Heure par heure'!K43="","",'Heure par heure'!K43-N('Heure par heure'!K42))</f>
        <v/>
      </c>
      <c r="K43" s="3">
        <f>IF('Heure par heure'!L43="","",'Heure par heure'!L43-N('Heure par heure'!L42))</f>
        <v/>
      </c>
      <c r="L43" s="3">
        <f>SUM(B43:K43)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1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1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1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1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  <row r="46">
      <c r="A46" s="2" t="inlineStr">
        <is>
          <t>2026-10-25 17:26</t>
        </is>
      </c>
      <c r="B46" s="3" t="n">
        <v>1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1</v>
      </c>
      <c r="I46" s="2" t="inlineStr">
        <is>
          <t>ouvrir</t>
        </is>
      </c>
    </row>
    <row r="47">
      <c r="A47" s="2" t="inlineStr">
        <is>
          <t>2026-10-27 07:09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</hyperlinks>
  <pageMargins left="0.75" right="0.75" top="1" bottom="1" header="0.5" footer="0.5"/>
  <drawing xmlns:r="http://schemas.openxmlformats.org/officeDocument/2006/relationships" r:id="rId47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2026-10-27T10:10:19Z</dcterms:created>
  <dcterms:modified xsi:type="dcterms:W3CDTF">2026-10-27T10:10:19Z</dcterms:modified>
</cp:coreProperties>
</file>