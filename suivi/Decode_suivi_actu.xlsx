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ur par jour" sheetId="1" state="visible" r:id="rId1"/>
    <sheet name="Vidéos" sheetId="2" state="visible" r:id="rId2"/>
    <sheet name="Évolution par vidéo" sheetId="3" state="visible" r:id="rId3"/>
    <sheet name="Vues du jour par vidéo" sheetId="4" state="visible" r:id="rId4"/>
    <sheet name="Heure par heure" sheetId="5" state="visible" r:id="rId5"/>
    <sheet name="Vues gagnées par heure" sheetId="6" state="visible" r:id="rId6"/>
    <sheet name="Stories" sheetId="7" state="visible" r:id="rId7"/>
    <sheet name="À lire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  <sz val="14"/>
    </font>
  </fonts>
  <fills count="3">
    <fill>
      <patternFill/>
    </fill>
    <fill>
      <patternFill patternType="gray125"/>
    </fill>
    <fill>
      <patternFill patternType="solid">
        <fgColor rgb="00111111"/>
      </patternFill>
    </fill>
  </fills>
  <borders count="2">
    <border>
      <left/>
      <right/>
      <top/>
      <bottom/>
      <diagonal/>
    </border>
    <border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1" pivotButton="0" quotePrefix="0" xfId="0"/>
    <xf numFmtId="3" fontId="2" fillId="0" borderId="1" pivotButton="0" quotePrefix="0" xfId="0"/>
    <xf numFmtId="0" fontId="3" fillId="0" borderId="1" pivotButton="0" quotePrefix="0" xfId="0"/>
    <xf numFmtId="164" fontId="2" fillId="0" borderId="1" pivotButton="0" quotePrefix="0" xfId="0"/>
    <xf numFmtId="2" fontId="2" fillId="0" borderId="1" pivotButton="0" quotePrefix="0" xfId="0"/>
    <xf numFmtId="0" fontId="4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'Jour par jour'!$A$2:$A$14</f>
            </numRef>
          </cat>
          <val>
            <numRef>
              <f>'Jour par jour'!$B$2:$B$14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abonnés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jour : vidéos et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jour'!E1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'Jour par jour'!$A$2:$A$14</f>
            </numRef>
          </cat>
          <val>
            <numRef>
              <f>'Jour par jour'!$E$2:$E$14</f>
            </numRef>
          </val>
        </ser>
        <ser>
          <idx val="1"/>
          <order val="1"/>
          <tx>
            <strRef>
              <f>'Jour par jour'!L1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'Jour par jour'!$A$2:$A$14</f>
            </numRef>
          </cat>
          <val>
            <numRef>
              <f>'Jour par jour'!$L$2:$L$14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Portée du compte et visites du profil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jour'!F1</f>
            </strRef>
          </tx>
          <spPr>
            <a:ln w="28000">
              <a:solidFill>
                <a:srgbClr val="8E5CFF"/>
              </a:solidFill>
              <a:prstDash val="solid"/>
            </a:ln>
          </spPr>
          <marker>
            <symbol val="circle"/>
            <size val="7"/>
            <spPr>
              <a:solidFill>
                <a:srgbClr val="8E5CFF"/>
              </a:solidFill>
              <a:ln>
                <a:prstDash val="solid"/>
              </a:ln>
            </spPr>
          </marker>
          <cat>
            <numRef>
              <f>'Jour par jour'!$A$2:$A$14</f>
            </numRef>
          </cat>
          <val>
            <numRef>
              <f>'Jour par jour'!$F$2:$F$14</f>
            </numRef>
          </val>
          <smooth val="0"/>
        </ser>
        <ser>
          <idx val="1"/>
          <order val="1"/>
          <tx>
            <strRef>
              <f>'Jour par jour'!H1</f>
            </strRef>
          </tx>
          <spPr>
            <a:ln w="28000">
              <a:solidFill>
                <a:srgbClr val="00B8D4"/>
              </a:solidFill>
              <a:prstDash val="solid"/>
            </a:ln>
          </spPr>
          <marker>
            <symbol val="circle"/>
            <size val="7"/>
            <spPr>
              <a:solidFill>
                <a:srgbClr val="00B8D4"/>
              </a:solidFill>
              <a:ln>
                <a:prstDash val="solid"/>
              </a:ln>
            </spPr>
          </marker>
          <cat>
            <numRef>
              <f>'Jour par jour'!$A$2:$A$14</f>
            </numRef>
          </cat>
          <val>
            <numRef>
              <f>'Jour par jour'!$H$2:$H$14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 gagnés par jour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jour'!C1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'Jour par jour'!$A$2:$A$14</f>
            </numRef>
          </cat>
          <val>
            <numRef>
              <f>'Jour par jour'!$C$2:$C$14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vidéo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'Vidéos'!D1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'Vidéos'!$B$2:$B$26</f>
            </numRef>
          </cat>
          <val>
            <numRef>
              <f>'Vidéos'!$D$2:$D$26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Likes, commentaires, partages, enregistrements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'Vidéos'!F1</f>
            </strRef>
          </tx>
          <spPr>
            <a:solidFill>
              <a:srgbClr val="FF4F81"/>
            </a:solidFill>
            <a:ln>
              <a:prstDash val="solid"/>
            </a:ln>
          </spPr>
          <cat>
            <numRef>
              <f>'Vidéos'!$B$2:$B$26</f>
            </numRef>
          </cat>
          <val>
            <numRef>
              <f>'Vidéos'!$F$2:$F$26</f>
            </numRef>
          </val>
        </ser>
        <ser>
          <idx val="1"/>
          <order val="1"/>
          <tx>
            <strRef>
              <f>'Vidéos'!G1</f>
            </strRef>
          </tx>
          <spPr>
            <a:solidFill>
              <a:srgbClr val="8E5CFF"/>
            </a:solidFill>
            <a:ln>
              <a:prstDash val="solid"/>
            </a:ln>
          </spPr>
          <cat>
            <numRef>
              <f>'Vidéos'!$B$2:$B$26</f>
            </numRef>
          </cat>
          <val>
            <numRef>
              <f>'Vidéos'!$G$2:$G$26</f>
            </numRef>
          </val>
        </ser>
        <ser>
          <idx val="2"/>
          <order val="2"/>
          <tx>
            <strRef>
              <f>'Vidéos'!H1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'Vidéos'!$B$2:$B$26</f>
            </numRef>
          </cat>
          <val>
            <numRef>
              <f>'Vidéos'!$H$2:$H$26</f>
            </numRef>
          </val>
        </ser>
        <ser>
          <idx val="3"/>
          <order val="3"/>
          <tx>
            <strRef>
              <f>'Vidéos'!I1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'Vidéos'!$B$2:$B$26</f>
            </numRef>
          </cat>
          <val>
            <numRef>
              <f>'Vidéos'!$I$2:$I$26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Taux d'engagement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'Vidéos'!K1</f>
            </strRef>
          </tx>
          <spPr>
            <a:solidFill>
              <a:srgbClr val="E5133A"/>
            </a:solidFill>
            <a:ln>
              <a:prstDash val="solid"/>
            </a:ln>
          </spPr>
          <cat>
            <numRef>
              <f>'Vidéos'!$B$2:$B$26</f>
            </numRef>
          </cat>
          <val>
            <numRef>
              <f>'Vidéos'!$K$2:$K$26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jour après jour</a:t>
            </a:r>
          </a:p>
        </rich>
      </tx>
    </title>
    <plotArea>
      <lineChart>
        <grouping val="standard"/>
        <ser>
          <idx val="0"/>
          <order val="0"/>
          <tx>
            <strRef>
              <f>'Évolution par vidéo'!B1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vidéo'!$A$2:$A$14</f>
            </numRef>
          </cat>
          <val>
            <numRef>
              <f>'Évolution par vidéo'!$B$2:$B$14</f>
            </numRef>
          </val>
        </ser>
        <ser>
          <idx val="1"/>
          <order val="1"/>
          <tx>
            <strRef>
              <f>'Évolution par vidéo'!C1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vidéo'!$A$2:$A$14</f>
            </numRef>
          </cat>
          <val>
            <numRef>
              <f>'Évolution par vidéo'!$C$2:$C$14</f>
            </numRef>
          </val>
        </ser>
        <ser>
          <idx val="2"/>
          <order val="2"/>
          <tx>
            <strRef>
              <f>'Évolution par vidéo'!D1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vidéo'!$A$2:$A$14</f>
            </numRef>
          </cat>
          <val>
            <numRef>
              <f>'Évolution par vidéo'!$D$2:$D$14</f>
            </numRef>
          </val>
        </ser>
        <ser>
          <idx val="3"/>
          <order val="3"/>
          <tx>
            <strRef>
              <f>'Évolution par vidéo'!E1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vidéo'!$A$2:$A$14</f>
            </numRef>
          </cat>
          <val>
            <numRef>
              <f>'Évolution par vidéo'!$E$2:$E$14</f>
            </numRef>
          </val>
        </ser>
        <ser>
          <idx val="4"/>
          <order val="4"/>
          <tx>
            <strRef>
              <f>'Évolution par vidéo'!F1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vidéo'!$A$2:$A$14</f>
            </numRef>
          </cat>
          <val>
            <numRef>
              <f>'Évolution par vidéo'!$F$2:$F$14</f>
            </numRef>
          </val>
        </ser>
        <ser>
          <idx val="5"/>
          <order val="5"/>
          <tx>
            <strRef>
              <f>'Évolution par vidéo'!G1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vidéo'!$A$2:$A$14</f>
            </numRef>
          </cat>
          <val>
            <numRef>
              <f>'Évolution par vidéo'!$G$2:$G$14</f>
            </numRef>
          </val>
        </ser>
        <ser>
          <idx val="6"/>
          <order val="6"/>
          <tx>
            <strRef>
              <f>'Évolution par vidéo'!H1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vidéo'!$A$2:$A$14</f>
            </numRef>
          </cat>
          <val>
            <numRef>
              <f>'Évolution par vidéo'!$H$2:$H$14</f>
            </numRef>
          </val>
        </ser>
        <ser>
          <idx val="7"/>
          <order val="7"/>
          <tx>
            <strRef>
              <f>'Évolution par vidéo'!I1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vidéo'!$A$2:$A$14</f>
            </numRef>
          </cat>
          <val>
            <numRef>
              <f>'Évolution par vidéo'!$I$2:$I$14</f>
            </numRef>
          </val>
        </ser>
        <ser>
          <idx val="8"/>
          <order val="8"/>
          <tx>
            <strRef>
              <f>'Évolution par vidéo'!J1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vidéo'!$A$2:$A$14</f>
            </numRef>
          </cat>
          <val>
            <numRef>
              <f>'Évolution par vidéo'!$J$2:$J$14</f>
            </numRef>
          </val>
        </ser>
        <ser>
          <idx val="9"/>
          <order val="9"/>
          <tx>
            <strRef>
              <f>'Évolution par vidéo'!K1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vidéo'!$A$2:$A$14</f>
            </numRef>
          </cat>
          <val>
            <numRef>
              <f>'Évolution par vidéo'!$K$2:$K$14</f>
            </numRef>
          </val>
        </ser>
        <ser>
          <idx val="10"/>
          <order val="10"/>
          <tx>
            <strRef>
              <f>'Évolution par vidéo'!L1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vidéo'!$A$2:$A$14</f>
            </numRef>
          </cat>
          <val>
            <numRef>
              <f>'Évolution par vidéo'!$L$2:$L$14</f>
            </numRef>
          </val>
        </ser>
        <ser>
          <idx val="11"/>
          <order val="11"/>
          <tx>
            <strRef>
              <f>'Évolution par vidéo'!M1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vidéo'!$A$2:$A$14</f>
            </numRef>
          </cat>
          <val>
            <numRef>
              <f>'Évolution par vidéo'!$M$2:$M$14</f>
            </numRef>
          </val>
        </ser>
        <ser>
          <idx val="12"/>
          <order val="12"/>
          <tx>
            <strRef>
              <f>'Évolution par vidéo'!N1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vidéo'!$A$2:$A$14</f>
            </numRef>
          </cat>
          <val>
            <numRef>
              <f>'Évolution par vidéo'!$N$2:$N$14</f>
            </numRef>
          </val>
        </ser>
        <ser>
          <idx val="13"/>
          <order val="13"/>
          <tx>
            <strRef>
              <f>'Évolution par vidéo'!O1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vidéo'!$A$2:$A$14</f>
            </numRef>
          </cat>
          <val>
            <numRef>
              <f>'Évolution par vidéo'!$O$2:$O$14</f>
            </numRef>
          </val>
        </ser>
        <ser>
          <idx val="14"/>
          <order val="14"/>
          <tx>
            <strRef>
              <f>'Évolution par vidéo'!P1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vidéo'!$A$2:$A$14</f>
            </numRef>
          </cat>
          <val>
            <numRef>
              <f>'Évolution par vidéo'!$P$2:$P$14</f>
            </numRef>
          </val>
        </ser>
        <ser>
          <idx val="15"/>
          <order val="15"/>
          <tx>
            <strRef>
              <f>'Évolution par vidéo'!Q1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vidéo'!$A$2:$A$14</f>
            </numRef>
          </cat>
          <val>
            <numRef>
              <f>'Évolution par vidéo'!$Q$2:$Q$14</f>
            </numRef>
          </val>
        </ser>
        <ser>
          <idx val="16"/>
          <order val="16"/>
          <tx>
            <strRef>
              <f>'Évolution par vidéo'!R1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vidéo'!$A$2:$A$14</f>
            </numRef>
          </cat>
          <val>
            <numRef>
              <f>'Évolution par vidéo'!$R$2:$R$14</f>
            </numRef>
          </val>
        </ser>
        <ser>
          <idx val="17"/>
          <order val="17"/>
          <tx>
            <strRef>
              <f>'Évolution par vidéo'!S1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vidéo'!$A$2:$A$14</f>
            </numRef>
          </cat>
          <val>
            <numRef>
              <f>'Évolution par vidéo'!$S$2:$S$14</f>
            </numRef>
          </val>
        </ser>
        <ser>
          <idx val="18"/>
          <order val="18"/>
          <tx>
            <strRef>
              <f>'Évolution par vidéo'!T1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vidéo'!$A$2:$A$14</f>
            </numRef>
          </cat>
          <val>
            <numRef>
              <f>'Évolution par vidéo'!$T$2:$T$14</f>
            </numRef>
          </val>
        </ser>
        <ser>
          <idx val="19"/>
          <order val="19"/>
          <tx>
            <strRef>
              <f>'Évolution par vidéo'!U1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vidéo'!$A$2:$A$14</f>
            </numRef>
          </cat>
          <val>
            <numRef>
              <f>'Évolution par vidéo'!$U$2:$U$14</f>
            </numRef>
          </val>
        </ser>
        <ser>
          <idx val="20"/>
          <order val="20"/>
          <tx>
            <strRef>
              <f>'Évolution par vidéo'!V1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vidéo'!$A$2:$A$14</f>
            </numRef>
          </cat>
          <val>
            <numRef>
              <f>'Évolution par vidéo'!$V$2:$V$14</f>
            </numRef>
          </val>
        </ser>
        <ser>
          <idx val="21"/>
          <order val="21"/>
          <tx>
            <strRef>
              <f>'Évolution par vidéo'!W1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vidéo'!$A$2:$A$14</f>
            </numRef>
          </cat>
          <val>
            <numRef>
              <f>'Évolution par vidéo'!$W$2:$W$14</f>
            </numRef>
          </val>
        </ser>
        <ser>
          <idx val="22"/>
          <order val="22"/>
          <tx>
            <strRef>
              <f>'Évolution par vidéo'!X1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vidéo'!$A$2:$A$14</f>
            </numRef>
          </cat>
          <val>
            <numRef>
              <f>'Évolution par vidéo'!$X$2:$X$14</f>
            </numRef>
          </val>
        </ser>
        <ser>
          <idx val="23"/>
          <order val="23"/>
          <tx>
            <strRef>
              <f>'Évolution par vidéo'!Y1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vidéo'!$A$2:$A$14</f>
            </numRef>
          </cat>
          <val>
            <numRef>
              <f>'Évolution par vidéo'!$Y$2:$Y$14</f>
            </numRef>
          </val>
        </ser>
        <ser>
          <idx val="24"/>
          <order val="24"/>
          <tx>
            <strRef>
              <f>'Évolution par vidéo'!Z1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vidéo'!$A$2:$A$14</f>
            </numRef>
          </cat>
          <val>
            <numRef>
              <f>'Évolution par vidéo'!$Z$2:$Z$14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jour,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du jour par vidéo'!B1</f>
            </strRef>
          </tx>
          <spPr>
            <a:ln>
              <a:prstDash val="solid"/>
            </a:ln>
          </spPr>
          <cat>
            <numRef>
              <f>'Vues du jour par vidéo'!$A$2:$A$14</f>
            </numRef>
          </cat>
          <val>
            <numRef>
              <f>'Vues du jour par vidéo'!$B$2:$B$14</f>
            </numRef>
          </val>
        </ser>
        <ser>
          <idx val="1"/>
          <order val="1"/>
          <tx>
            <strRef>
              <f>'Vues du jour par vidéo'!C1</f>
            </strRef>
          </tx>
          <spPr>
            <a:ln>
              <a:prstDash val="solid"/>
            </a:ln>
          </spPr>
          <cat>
            <numRef>
              <f>'Vues du jour par vidéo'!$A$2:$A$14</f>
            </numRef>
          </cat>
          <val>
            <numRef>
              <f>'Vues du jour par vidéo'!$C$2:$C$14</f>
            </numRef>
          </val>
        </ser>
        <ser>
          <idx val="2"/>
          <order val="2"/>
          <tx>
            <strRef>
              <f>'Vues du jour par vidéo'!D1</f>
            </strRef>
          </tx>
          <spPr>
            <a:ln>
              <a:prstDash val="solid"/>
            </a:ln>
          </spPr>
          <cat>
            <numRef>
              <f>'Vues du jour par vidéo'!$A$2:$A$14</f>
            </numRef>
          </cat>
          <val>
            <numRef>
              <f>'Vues du jour par vidéo'!$D$2:$D$14</f>
            </numRef>
          </val>
        </ser>
        <ser>
          <idx val="3"/>
          <order val="3"/>
          <tx>
            <strRef>
              <f>'Vues du jour par vidéo'!E1</f>
            </strRef>
          </tx>
          <spPr>
            <a:ln>
              <a:prstDash val="solid"/>
            </a:ln>
          </spPr>
          <cat>
            <numRef>
              <f>'Vues du jour par vidéo'!$A$2:$A$14</f>
            </numRef>
          </cat>
          <val>
            <numRef>
              <f>'Vues du jour par vidéo'!$E$2:$E$14</f>
            </numRef>
          </val>
        </ser>
        <ser>
          <idx val="4"/>
          <order val="4"/>
          <tx>
            <strRef>
              <f>'Vues du jour par vidéo'!F1</f>
            </strRef>
          </tx>
          <spPr>
            <a:ln>
              <a:prstDash val="solid"/>
            </a:ln>
          </spPr>
          <cat>
            <numRef>
              <f>'Vues du jour par vidéo'!$A$2:$A$14</f>
            </numRef>
          </cat>
          <val>
            <numRef>
              <f>'Vues du jour par vidéo'!$F$2:$F$14</f>
            </numRef>
          </val>
        </ser>
        <ser>
          <idx val="5"/>
          <order val="5"/>
          <tx>
            <strRef>
              <f>'Vues du jour par vidéo'!G1</f>
            </strRef>
          </tx>
          <spPr>
            <a:ln>
              <a:prstDash val="solid"/>
            </a:ln>
          </spPr>
          <cat>
            <numRef>
              <f>'Vues du jour par vidéo'!$A$2:$A$14</f>
            </numRef>
          </cat>
          <val>
            <numRef>
              <f>'Vues du jour par vidéo'!$G$2:$G$14</f>
            </numRef>
          </val>
        </ser>
        <ser>
          <idx val="6"/>
          <order val="6"/>
          <tx>
            <strRef>
              <f>'Vues du jour par vidéo'!H1</f>
            </strRef>
          </tx>
          <spPr>
            <a:ln>
              <a:prstDash val="solid"/>
            </a:ln>
          </spPr>
          <cat>
            <numRef>
              <f>'Vues du jour par vidéo'!$A$2:$A$14</f>
            </numRef>
          </cat>
          <val>
            <numRef>
              <f>'Vues du jour par vidéo'!$H$2:$H$14</f>
            </numRef>
          </val>
        </ser>
        <ser>
          <idx val="7"/>
          <order val="7"/>
          <tx>
            <strRef>
              <f>'Vues du jour par vidéo'!I1</f>
            </strRef>
          </tx>
          <spPr>
            <a:ln>
              <a:prstDash val="solid"/>
            </a:ln>
          </spPr>
          <cat>
            <numRef>
              <f>'Vues du jour par vidéo'!$A$2:$A$14</f>
            </numRef>
          </cat>
          <val>
            <numRef>
              <f>'Vues du jour par vidéo'!$I$2:$I$14</f>
            </numRef>
          </val>
        </ser>
        <ser>
          <idx val="8"/>
          <order val="8"/>
          <tx>
            <strRef>
              <f>'Vues du jour par vidéo'!J1</f>
            </strRef>
          </tx>
          <spPr>
            <a:ln>
              <a:prstDash val="solid"/>
            </a:ln>
          </spPr>
          <cat>
            <numRef>
              <f>'Vues du jour par vidéo'!$A$2:$A$14</f>
            </numRef>
          </cat>
          <val>
            <numRef>
              <f>'Vues du jour par vidéo'!$J$2:$J$14</f>
            </numRef>
          </val>
        </ser>
        <ser>
          <idx val="9"/>
          <order val="9"/>
          <tx>
            <strRef>
              <f>'Vues du jour par vidéo'!K1</f>
            </strRef>
          </tx>
          <spPr>
            <a:ln>
              <a:prstDash val="solid"/>
            </a:ln>
          </spPr>
          <cat>
            <numRef>
              <f>'Vues du jour par vidéo'!$A$2:$A$14</f>
            </numRef>
          </cat>
          <val>
            <numRef>
              <f>'Vues du jour par vidéo'!$K$2:$K$14</f>
            </numRef>
          </val>
        </ser>
        <ser>
          <idx val="10"/>
          <order val="10"/>
          <tx>
            <strRef>
              <f>'Vues du jour par vidéo'!L1</f>
            </strRef>
          </tx>
          <spPr>
            <a:ln>
              <a:prstDash val="solid"/>
            </a:ln>
          </spPr>
          <cat>
            <numRef>
              <f>'Vues du jour par vidéo'!$A$2:$A$14</f>
            </numRef>
          </cat>
          <val>
            <numRef>
              <f>'Vues du jour par vidéo'!$L$2:$L$14</f>
            </numRef>
          </val>
        </ser>
        <ser>
          <idx val="11"/>
          <order val="11"/>
          <tx>
            <strRef>
              <f>'Vues du jour par vidéo'!M1</f>
            </strRef>
          </tx>
          <spPr>
            <a:ln>
              <a:prstDash val="solid"/>
            </a:ln>
          </spPr>
          <cat>
            <numRef>
              <f>'Vues du jour par vidéo'!$A$2:$A$14</f>
            </numRef>
          </cat>
          <val>
            <numRef>
              <f>'Vues du jour par vidéo'!$M$2:$M$14</f>
            </numRef>
          </val>
        </ser>
        <ser>
          <idx val="12"/>
          <order val="12"/>
          <tx>
            <strRef>
              <f>'Vues du jour par vidéo'!N1</f>
            </strRef>
          </tx>
          <spPr>
            <a:ln>
              <a:prstDash val="solid"/>
            </a:ln>
          </spPr>
          <cat>
            <numRef>
              <f>'Vues du jour par vidéo'!$A$2:$A$14</f>
            </numRef>
          </cat>
          <val>
            <numRef>
              <f>'Vues du jour par vidéo'!$N$2:$N$14</f>
            </numRef>
          </val>
        </ser>
        <ser>
          <idx val="13"/>
          <order val="13"/>
          <tx>
            <strRef>
              <f>'Vues du jour par vidéo'!O1</f>
            </strRef>
          </tx>
          <spPr>
            <a:ln>
              <a:prstDash val="solid"/>
            </a:ln>
          </spPr>
          <cat>
            <numRef>
              <f>'Vues du jour par vidéo'!$A$2:$A$14</f>
            </numRef>
          </cat>
          <val>
            <numRef>
              <f>'Vues du jour par vidéo'!$O$2:$O$14</f>
            </numRef>
          </val>
        </ser>
        <ser>
          <idx val="14"/>
          <order val="14"/>
          <tx>
            <strRef>
              <f>'Vues du jour par vidéo'!P1</f>
            </strRef>
          </tx>
          <spPr>
            <a:ln>
              <a:prstDash val="solid"/>
            </a:ln>
          </spPr>
          <cat>
            <numRef>
              <f>'Vues du jour par vidéo'!$A$2:$A$14</f>
            </numRef>
          </cat>
          <val>
            <numRef>
              <f>'Vues du jour par vidéo'!$P$2:$P$14</f>
            </numRef>
          </val>
        </ser>
        <ser>
          <idx val="15"/>
          <order val="15"/>
          <tx>
            <strRef>
              <f>'Vues du jour par vidéo'!Q1</f>
            </strRef>
          </tx>
          <spPr>
            <a:ln>
              <a:prstDash val="solid"/>
            </a:ln>
          </spPr>
          <cat>
            <numRef>
              <f>'Vues du jour par vidéo'!$A$2:$A$14</f>
            </numRef>
          </cat>
          <val>
            <numRef>
              <f>'Vues du jour par vidéo'!$Q$2:$Q$14</f>
            </numRef>
          </val>
        </ser>
        <ser>
          <idx val="16"/>
          <order val="16"/>
          <tx>
            <strRef>
              <f>'Vues du jour par vidéo'!R1</f>
            </strRef>
          </tx>
          <spPr>
            <a:ln>
              <a:prstDash val="solid"/>
            </a:ln>
          </spPr>
          <cat>
            <numRef>
              <f>'Vues du jour par vidéo'!$A$2:$A$14</f>
            </numRef>
          </cat>
          <val>
            <numRef>
              <f>'Vues du jour par vidéo'!$R$2:$R$14</f>
            </numRef>
          </val>
        </ser>
        <ser>
          <idx val="17"/>
          <order val="17"/>
          <tx>
            <strRef>
              <f>'Vues du jour par vidéo'!S1</f>
            </strRef>
          </tx>
          <spPr>
            <a:ln>
              <a:prstDash val="solid"/>
            </a:ln>
          </spPr>
          <cat>
            <numRef>
              <f>'Vues du jour par vidéo'!$A$2:$A$14</f>
            </numRef>
          </cat>
          <val>
            <numRef>
              <f>'Vues du jour par vidéo'!$S$2:$S$14</f>
            </numRef>
          </val>
        </ser>
        <ser>
          <idx val="18"/>
          <order val="18"/>
          <tx>
            <strRef>
              <f>'Vues du jour par vidéo'!T1</f>
            </strRef>
          </tx>
          <spPr>
            <a:ln>
              <a:prstDash val="solid"/>
            </a:ln>
          </spPr>
          <cat>
            <numRef>
              <f>'Vues du jour par vidéo'!$A$2:$A$14</f>
            </numRef>
          </cat>
          <val>
            <numRef>
              <f>'Vues du jour par vidéo'!$T$2:$T$14</f>
            </numRef>
          </val>
        </ser>
        <ser>
          <idx val="19"/>
          <order val="19"/>
          <tx>
            <strRef>
              <f>'Vues du jour par vidéo'!U1</f>
            </strRef>
          </tx>
          <spPr>
            <a:ln>
              <a:prstDash val="solid"/>
            </a:ln>
          </spPr>
          <cat>
            <numRef>
              <f>'Vues du jour par vidéo'!$A$2:$A$14</f>
            </numRef>
          </cat>
          <val>
            <numRef>
              <f>'Vues du jour par vidéo'!$U$2:$U$14</f>
            </numRef>
          </val>
        </ser>
        <ser>
          <idx val="20"/>
          <order val="20"/>
          <tx>
            <strRef>
              <f>'Vues du jour par vidéo'!V1</f>
            </strRef>
          </tx>
          <spPr>
            <a:ln>
              <a:prstDash val="solid"/>
            </a:ln>
          </spPr>
          <cat>
            <numRef>
              <f>'Vues du jour par vidéo'!$A$2:$A$14</f>
            </numRef>
          </cat>
          <val>
            <numRef>
              <f>'Vues du jour par vidéo'!$V$2:$V$14</f>
            </numRef>
          </val>
        </ser>
        <ser>
          <idx val="21"/>
          <order val="21"/>
          <tx>
            <strRef>
              <f>'Vues du jour par vidéo'!W1</f>
            </strRef>
          </tx>
          <spPr>
            <a:ln>
              <a:prstDash val="solid"/>
            </a:ln>
          </spPr>
          <cat>
            <numRef>
              <f>'Vues du jour par vidéo'!$A$2:$A$14</f>
            </numRef>
          </cat>
          <val>
            <numRef>
              <f>'Vues du jour par vidéo'!$W$2:$W$14</f>
            </numRef>
          </val>
        </ser>
        <ser>
          <idx val="22"/>
          <order val="22"/>
          <tx>
            <strRef>
              <f>'Vues du jour par vidéo'!X1</f>
            </strRef>
          </tx>
          <spPr>
            <a:ln>
              <a:prstDash val="solid"/>
            </a:ln>
          </spPr>
          <cat>
            <numRef>
              <f>'Vues du jour par vidéo'!$A$2:$A$14</f>
            </numRef>
          </cat>
          <val>
            <numRef>
              <f>'Vues du jour par vidéo'!$X$2:$X$14</f>
            </numRef>
          </val>
        </ser>
        <ser>
          <idx val="23"/>
          <order val="23"/>
          <tx>
            <strRef>
              <f>'Vues du jour par vidéo'!Y1</f>
            </strRef>
          </tx>
          <spPr>
            <a:ln>
              <a:prstDash val="solid"/>
            </a:ln>
          </spPr>
          <cat>
            <numRef>
              <f>'Vues du jour par vidéo'!$A$2:$A$14</f>
            </numRef>
          </cat>
          <val>
            <numRef>
              <f>'Vues du jour par vidéo'!$Y$2:$Y$14</f>
            </numRef>
          </val>
        </ser>
        <ser>
          <idx val="24"/>
          <order val="24"/>
          <tx>
            <strRef>
              <f>'Vues du jour par vidéo'!Z1</f>
            </strRef>
          </tx>
          <spPr>
            <a:ln>
              <a:prstDash val="solid"/>
            </a:ln>
          </spPr>
          <cat>
            <numRef>
              <f>'Vues du jour par vidéo'!$A$2:$A$14</f>
            </numRef>
          </cat>
          <val>
            <numRef>
              <f>'Vues du jour par vidéo'!$Z$2:$Z$14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heure'!$A$2:$A$105</f>
            </numRef>
          </cat>
          <val>
            <numRef>
              <f>'Heure par heure'!$C$2:$C$105</f>
            </numRef>
          </val>
        </ser>
        <ser>
          <idx val="1"/>
          <order val="1"/>
          <tx>
            <strRef>
              <f>'Heure par heure'!D1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heure'!$A$2:$A$105</f>
            </numRef>
          </cat>
          <val>
            <numRef>
              <f>'Heure par heure'!$D$2:$D$105</f>
            </numRef>
          </val>
        </ser>
        <ser>
          <idx val="2"/>
          <order val="2"/>
          <tx>
            <strRef>
              <f>'Heure par heure'!E1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heure'!$A$2:$A$105</f>
            </numRef>
          </cat>
          <val>
            <numRef>
              <f>'Heure par heure'!$E$2:$E$105</f>
            </numRef>
          </val>
        </ser>
        <ser>
          <idx val="3"/>
          <order val="3"/>
          <tx>
            <strRef>
              <f>'Heure par heure'!F1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heure'!$A$2:$A$105</f>
            </numRef>
          </cat>
          <val>
            <numRef>
              <f>'Heure par heure'!$F$2:$F$105</f>
            </numRef>
          </val>
        </ser>
        <ser>
          <idx val="4"/>
          <order val="4"/>
          <tx>
            <strRef>
              <f>'Heure par heure'!G1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heure'!$A$2:$A$105</f>
            </numRef>
          </cat>
          <val>
            <numRef>
              <f>'Heure par heure'!$G$2:$G$105</f>
            </numRef>
          </val>
        </ser>
        <ser>
          <idx val="5"/>
          <order val="5"/>
          <tx>
            <strRef>
              <f>'Heure par heure'!H1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heure'!$A$2:$A$105</f>
            </numRef>
          </cat>
          <val>
            <numRef>
              <f>'Heure par heure'!$H$2:$H$105</f>
            </numRef>
          </val>
        </ser>
        <ser>
          <idx val="6"/>
          <order val="6"/>
          <tx>
            <strRef>
              <f>'Heure par heure'!I1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heure'!$A$2:$A$105</f>
            </numRef>
          </cat>
          <val>
            <numRef>
              <f>'Heure par heure'!$I$2:$I$105</f>
            </numRef>
          </val>
        </ser>
        <ser>
          <idx val="7"/>
          <order val="7"/>
          <tx>
            <strRef>
              <f>'Heure par heure'!J1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heure'!$A$2:$A$105</f>
            </numRef>
          </cat>
          <val>
            <numRef>
              <f>'Heure par heure'!$J$2:$J$105</f>
            </numRef>
          </val>
        </ser>
        <ser>
          <idx val="8"/>
          <order val="8"/>
          <tx>
            <strRef>
              <f>'Heure par heure'!K1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heure'!$A$2:$A$105</f>
            </numRef>
          </cat>
          <val>
            <numRef>
              <f>'Heure par heure'!$K$2:$K$105</f>
            </numRef>
          </val>
        </ser>
        <ser>
          <idx val="9"/>
          <order val="9"/>
          <tx>
            <strRef>
              <f>'Heure par heure'!L1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heure'!$A$2:$A$105</f>
            </numRef>
          </cat>
          <val>
            <numRef>
              <f>'Heure par heure'!$L$2:$L$105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'Heure par heure'!$A$2:$A$105</f>
            </numRef>
          </cat>
          <val>
            <numRef>
              <f>'Heure par heure'!$B$2:$B$105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totales du compte (vidéos),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heure'!M1</f>
            </strRef>
          </tx>
          <spPr>
            <a:ln w="28000">
              <a:solidFill>
                <a:srgbClr val="3D5AFE"/>
              </a:solidFill>
              <a:prstDash val="solid"/>
            </a:ln>
          </spPr>
          <marker>
            <symbol val="circle"/>
            <size val="7"/>
            <spPr>
              <a:solidFill>
                <a:srgbClr val="3D5AFE"/>
              </a:solidFill>
              <a:ln>
                <a:prstDash val="solid"/>
              </a:ln>
            </spPr>
          </marker>
          <cat>
            <numRef>
              <f>'Heure par heure'!$A$2:$A$105</f>
            </numRef>
          </cat>
          <val>
            <numRef>
              <f>'Heure par heure'!$M$2:$M$105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heure,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gagnées par heure'!B1</f>
            </strRef>
          </tx>
          <spPr>
            <a:ln>
              <a:prstDash val="solid"/>
            </a:ln>
          </spPr>
          <cat>
            <numRef>
              <f>'Vues gagnées par heure'!$A$2:$A$105</f>
            </numRef>
          </cat>
          <val>
            <numRef>
              <f>'Vues gagnées par heure'!$B$2:$B$105</f>
            </numRef>
          </val>
        </ser>
        <ser>
          <idx val="1"/>
          <order val="1"/>
          <tx>
            <strRef>
              <f>'Vues gagnées par heure'!C1</f>
            </strRef>
          </tx>
          <spPr>
            <a:ln>
              <a:prstDash val="solid"/>
            </a:ln>
          </spPr>
          <cat>
            <numRef>
              <f>'Vues gagnées par heure'!$A$2:$A$105</f>
            </numRef>
          </cat>
          <val>
            <numRef>
              <f>'Vues gagnées par heure'!$C$2:$C$105</f>
            </numRef>
          </val>
        </ser>
        <ser>
          <idx val="2"/>
          <order val="2"/>
          <tx>
            <strRef>
              <f>'Vues gagnées par heure'!D1</f>
            </strRef>
          </tx>
          <spPr>
            <a:ln>
              <a:prstDash val="solid"/>
            </a:ln>
          </spPr>
          <cat>
            <numRef>
              <f>'Vues gagnées par heure'!$A$2:$A$105</f>
            </numRef>
          </cat>
          <val>
            <numRef>
              <f>'Vues gagnées par heure'!$D$2:$D$105</f>
            </numRef>
          </val>
        </ser>
        <ser>
          <idx val="3"/>
          <order val="3"/>
          <tx>
            <strRef>
              <f>'Vues gagnées par heure'!E1</f>
            </strRef>
          </tx>
          <spPr>
            <a:ln>
              <a:prstDash val="solid"/>
            </a:ln>
          </spPr>
          <cat>
            <numRef>
              <f>'Vues gagnées par heure'!$A$2:$A$105</f>
            </numRef>
          </cat>
          <val>
            <numRef>
              <f>'Vues gagnées par heure'!$E$2:$E$105</f>
            </numRef>
          </val>
        </ser>
        <ser>
          <idx val="4"/>
          <order val="4"/>
          <tx>
            <strRef>
              <f>'Vues gagnées par heure'!F1</f>
            </strRef>
          </tx>
          <spPr>
            <a:ln>
              <a:prstDash val="solid"/>
            </a:ln>
          </spPr>
          <cat>
            <numRef>
              <f>'Vues gagnées par heure'!$A$2:$A$105</f>
            </numRef>
          </cat>
          <val>
            <numRef>
              <f>'Vues gagnées par heure'!$F$2:$F$105</f>
            </numRef>
          </val>
        </ser>
        <ser>
          <idx val="5"/>
          <order val="5"/>
          <tx>
            <strRef>
              <f>'Vues gagnées par heure'!G1</f>
            </strRef>
          </tx>
          <spPr>
            <a:ln>
              <a:prstDash val="solid"/>
            </a:ln>
          </spPr>
          <cat>
            <numRef>
              <f>'Vues gagnées par heure'!$A$2:$A$105</f>
            </numRef>
          </cat>
          <val>
            <numRef>
              <f>'Vues gagnées par heure'!$G$2:$G$105</f>
            </numRef>
          </val>
        </ser>
        <ser>
          <idx val="6"/>
          <order val="6"/>
          <tx>
            <strRef>
              <f>'Vues gagnées par heure'!H1</f>
            </strRef>
          </tx>
          <spPr>
            <a:ln>
              <a:prstDash val="solid"/>
            </a:ln>
          </spPr>
          <cat>
            <numRef>
              <f>'Vues gagnées par heure'!$A$2:$A$105</f>
            </numRef>
          </cat>
          <val>
            <numRef>
              <f>'Vues gagnées par heure'!$H$2:$H$105</f>
            </numRef>
          </val>
        </ser>
        <ser>
          <idx val="7"/>
          <order val="7"/>
          <tx>
            <strRef>
              <f>'Vues gagnées par heure'!I1</f>
            </strRef>
          </tx>
          <spPr>
            <a:ln>
              <a:prstDash val="solid"/>
            </a:ln>
          </spPr>
          <cat>
            <numRef>
              <f>'Vues gagnées par heure'!$A$2:$A$105</f>
            </numRef>
          </cat>
          <val>
            <numRef>
              <f>'Vues gagnées par heure'!$I$2:$I$105</f>
            </numRef>
          </val>
        </ser>
        <ser>
          <idx val="8"/>
          <order val="8"/>
          <tx>
            <strRef>
              <f>'Vues gagnées par heure'!J1</f>
            </strRef>
          </tx>
          <spPr>
            <a:ln>
              <a:prstDash val="solid"/>
            </a:ln>
          </spPr>
          <cat>
            <numRef>
              <f>'Vues gagnées par heure'!$A$2:$A$105</f>
            </numRef>
          </cat>
          <val>
            <numRef>
              <f>'Vues gagnées par heure'!$J$2:$J$105</f>
            </numRef>
          </val>
        </ser>
        <ser>
          <idx val="9"/>
          <order val="9"/>
          <tx>
            <strRef>
              <f>'Vues gagnées par heure'!K1</f>
            </strRef>
          </tx>
          <spPr>
            <a:ln>
              <a:prstDash val="solid"/>
            </a:ln>
          </spPr>
          <cat>
            <numRef>
              <f>'Vues gagnées par heure'!$A$2:$A$105</f>
            </numRef>
          </cat>
          <val>
            <numRef>
              <f>'Vues gagnées par heure'!$K$2:$K$105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des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'Stories'!B1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'Stories'!$A$2:$A$50</f>
            </numRef>
          </cat>
          <val>
            <numRef>
              <f>'Stories'!$B$2:$B$50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Relationship Type="http://schemas.openxmlformats.org/officeDocument/2006/relationships/chart" Target="/xl/charts/chart7.xml" Id="rId3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10.xml" Id="rId1" /><Relationship Type="http://schemas.openxmlformats.org/officeDocument/2006/relationships/chart" Target="/xl/charts/chart11.xml" Id="rId2" /><Relationship Type="http://schemas.openxmlformats.org/officeDocument/2006/relationships/chart" Target="/xl/charts/chart12.xml" Id="rId3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14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33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14</col>
      <colOff>0</colOff>
      <row>49</row>
      <rowOff>0</rowOff>
    </from>
    <ext cx="576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44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16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16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107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124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124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107</row>
      <rowOff>0</rowOff>
    </from>
    <ext cx="93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instagram.com/reel/Dem0qqtFULu/" TargetMode="External" Id="rId1" /><Relationship Type="http://schemas.openxmlformats.org/officeDocument/2006/relationships/hyperlink" Target="https://www.instagram.com/reel/DeocTD9jGCs/" TargetMode="External" Id="rId2" /><Relationship Type="http://schemas.openxmlformats.org/officeDocument/2006/relationships/hyperlink" Target="https://www.instagram.com/reel/DeoeolIgUGY/" TargetMode="External" Id="rId3" /><Relationship Type="http://schemas.openxmlformats.org/officeDocument/2006/relationships/hyperlink" Target="https://www.instagram.com/reel/DeovxcBkRv_/" TargetMode="External" Id="rId4" /><Relationship Type="http://schemas.openxmlformats.org/officeDocument/2006/relationships/hyperlink" Target="https://www.instagram.com/reel/Deo1Sr6iZnW/" TargetMode="External" Id="rId5" /><Relationship Type="http://schemas.openxmlformats.org/officeDocument/2006/relationships/hyperlink" Target="https://www.instagram.com/reel/DephiMUiZlP/" TargetMode="External" Id="rId6" /><Relationship Type="http://schemas.openxmlformats.org/officeDocument/2006/relationships/hyperlink" Target="https://www.instagram.com/reel/DeqltD5CUh1/" TargetMode="External" Id="rId7" /><Relationship Type="http://schemas.openxmlformats.org/officeDocument/2006/relationships/hyperlink" Target="https://www.instagram.com/reel/DeqzZwwgNZA/" TargetMode="External" Id="rId8" /><Relationship Type="http://schemas.openxmlformats.org/officeDocument/2006/relationships/hyperlink" Target="https://www.instagram.com/reel/Deq5shWj03J/" TargetMode="External" Id="rId9" /><Relationship Type="http://schemas.openxmlformats.org/officeDocument/2006/relationships/hyperlink" Target="https://www.instagram.com/reel/DerN1lWgqYL/" TargetMode="External" Id="rId10" /><Relationship Type="http://schemas.openxmlformats.org/officeDocument/2006/relationships/hyperlink" Target="https://www.instagram.com/reel/Der2bYjllOT/" TargetMode="External" Id="rId11" /><Relationship Type="http://schemas.openxmlformats.org/officeDocument/2006/relationships/hyperlink" Target="https://www.instagram.com/reel/DetoG3RDRGR/" TargetMode="External" Id="rId12" /><Relationship Type="http://schemas.openxmlformats.org/officeDocument/2006/relationships/hyperlink" Target="https://www.instagram.com/reel/DeuORmrje2X/" TargetMode="External" Id="rId13" /><Relationship Type="http://schemas.openxmlformats.org/officeDocument/2006/relationships/hyperlink" Target="https://www.instagram.com/reel/Dev7vAwiHPF/" TargetMode="External" Id="rId14" /><Relationship Type="http://schemas.openxmlformats.org/officeDocument/2006/relationships/hyperlink" Target="https://www.instagram.com/reel/DewXqdggjen/" TargetMode="External" Id="rId15" /><Relationship Type="http://schemas.openxmlformats.org/officeDocument/2006/relationships/hyperlink" Target="https://www.instagram.com/reel/DewzPEDkwDC/" TargetMode="External" Id="rId16" /><Relationship Type="http://schemas.openxmlformats.org/officeDocument/2006/relationships/hyperlink" Target="https://www.instagram.com/reel/Dey8pqJjxZe/" TargetMode="External" Id="rId17" /><Relationship Type="http://schemas.openxmlformats.org/officeDocument/2006/relationships/hyperlink" Target="https://www.instagram.com/reel/De4IrjoAfMV/" TargetMode="External" Id="rId18" /><Relationship Type="http://schemas.openxmlformats.org/officeDocument/2006/relationships/hyperlink" Target="https://www.instagram.com/reel/De4SjlaiLAP/" TargetMode="External" Id="rId19" /><Relationship Type="http://schemas.openxmlformats.org/officeDocument/2006/relationships/hyperlink" Target="https://www.instagram.com/reel/De4wFkgEjfv/" TargetMode="External" Id="rId20" /><Relationship Type="http://schemas.openxmlformats.org/officeDocument/2006/relationships/hyperlink" Target="https://www.instagram.com/reel/De63hUGjyxb/" TargetMode="External" Id="rId21" /><Relationship Type="http://schemas.openxmlformats.org/officeDocument/2006/relationships/hyperlink" Target="https://www.instagram.com/reel/De63r8EkQ6Y/" TargetMode="External" Id="rId22" /><Relationship Type="http://schemas.openxmlformats.org/officeDocument/2006/relationships/hyperlink" Target="https://www.instagram.com/reel/De7PS5wCqiN/" TargetMode="External" Id="rId23" /><Relationship Type="http://schemas.openxmlformats.org/officeDocument/2006/relationships/hyperlink" Target="https://www.instagram.com/reel/De_SOGKACX-/" TargetMode="External" Id="rId24" /><Relationship Type="http://schemas.openxmlformats.org/officeDocument/2006/relationships/hyperlink" Target="https://www.instagram.com/reel/DfEhKWcjNRz/" TargetMode="External" Id="rId25" /><Relationship Type="http://schemas.openxmlformats.org/officeDocument/2006/relationships/drawing" Target="/xl/drawings/drawing2.xml" Id="rId26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instagram.com/stories/decodeactu/4010082643597439666" TargetMode="External" Id="rId1" /><Relationship Type="http://schemas.openxmlformats.org/officeDocument/2006/relationships/hyperlink" Target="https://www.instagram.com/stories/decodeactu/4010085165683465949" TargetMode="External" Id="rId2" /><Relationship Type="http://schemas.openxmlformats.org/officeDocument/2006/relationships/hyperlink" Target="https://www.instagram.com/stories/decodeactu/4010580444979118418" TargetMode="External" Id="rId3" /><Relationship Type="http://schemas.openxmlformats.org/officeDocument/2006/relationships/hyperlink" Target="https://www.instagram.com/stories/decodeactu/4010591233256788578" TargetMode="External" Id="rId4" /><Relationship Type="http://schemas.openxmlformats.org/officeDocument/2006/relationships/hyperlink" Target="https://www.instagram.com/stories/decodeactu/4010666015784838411" TargetMode="External" Id="rId5" /><Relationship Type="http://schemas.openxmlformats.org/officeDocument/2006/relationships/hyperlink" Target="https://www.instagram.com/stories/decodeactu/4010666140154335585" TargetMode="External" Id="rId6" /><Relationship Type="http://schemas.openxmlformats.org/officeDocument/2006/relationships/hyperlink" Target="https://www.instagram.com/stories/decodeactu/4010690394136360817" TargetMode="External" Id="rId7" /><Relationship Type="http://schemas.openxmlformats.org/officeDocument/2006/relationships/hyperlink" Target="https://www.instagram.com/stories/decodeactu/4010870598054531991" TargetMode="External" Id="rId8" /><Relationship Type="http://schemas.openxmlformats.org/officeDocument/2006/relationships/hyperlink" Target="https://www.instagram.com/stories/decodeactu/4010884840560370844" TargetMode="External" Id="rId9" /><Relationship Type="http://schemas.openxmlformats.org/officeDocument/2006/relationships/hyperlink" Target="https://www.instagram.com/stories/decodeactu/4011184619395494112" TargetMode="External" Id="rId10" /><Relationship Type="http://schemas.openxmlformats.org/officeDocument/2006/relationships/hyperlink" Target="https://www.instagram.com/stories/decodeactu/4011206044512788419" TargetMode="External" Id="rId11" /><Relationship Type="http://schemas.openxmlformats.org/officeDocument/2006/relationships/hyperlink" Target="https://www.instagram.com/stories/decodeactu/4011244883063248653" TargetMode="External" Id="rId12" /><Relationship Type="http://schemas.openxmlformats.org/officeDocument/2006/relationships/hyperlink" Target="https://www.instagram.com/stories/decodeactu/4011245014529499175" TargetMode="External" Id="rId13" /><Relationship Type="http://schemas.openxmlformats.org/officeDocument/2006/relationships/hyperlink" Target="https://www.instagram.com/stories/decodeactu/4011246901605914493" TargetMode="External" Id="rId14" /><Relationship Type="http://schemas.openxmlformats.org/officeDocument/2006/relationships/hyperlink" Target="https://www.instagram.com/stories/decodeactu/4011272620515678186" TargetMode="External" Id="rId15" /><Relationship Type="http://schemas.openxmlformats.org/officeDocument/2006/relationships/hyperlink" Target="https://www.instagram.com/stories/decodeactu/4011273942141182263" TargetMode="External" Id="rId16" /><Relationship Type="http://schemas.openxmlformats.org/officeDocument/2006/relationships/hyperlink" Target="https://www.instagram.com/stories/decodeactu/4011274495344325312" TargetMode="External" Id="rId17" /><Relationship Type="http://schemas.openxmlformats.org/officeDocument/2006/relationships/hyperlink" Target="https://www.instagram.com/stories/decodeactu/4011361379043453867" TargetMode="External" Id="rId18" /><Relationship Type="http://schemas.openxmlformats.org/officeDocument/2006/relationships/hyperlink" Target="https://www.instagram.com/stories/decodeactu/4011361490788153119" TargetMode="External" Id="rId19" /><Relationship Type="http://schemas.openxmlformats.org/officeDocument/2006/relationships/hyperlink" Target="https://www.instagram.com/stories/decodeactu/4011539666742908595" TargetMode="External" Id="rId20" /><Relationship Type="http://schemas.openxmlformats.org/officeDocument/2006/relationships/hyperlink" Target="https://www.instagram.com/stories/decodeactu/4011969966597933986" TargetMode="External" Id="rId21" /><Relationship Type="http://schemas.openxmlformats.org/officeDocument/2006/relationships/hyperlink" Target="https://www.instagram.com/stories/decodeactu/4012039801088150752" TargetMode="External" Id="rId22" /><Relationship Type="http://schemas.openxmlformats.org/officeDocument/2006/relationships/hyperlink" Target="https://www.instagram.com/stories/decodeactu/4012039943837071141" TargetMode="External" Id="rId23" /><Relationship Type="http://schemas.openxmlformats.org/officeDocument/2006/relationships/hyperlink" Target="https://www.instagram.com/stories/decodeactu/4012132574386942983" TargetMode="External" Id="rId24" /><Relationship Type="http://schemas.openxmlformats.org/officeDocument/2006/relationships/hyperlink" Target="https://www.instagram.com/stories/decodeactu/4012207678374431526" TargetMode="External" Id="rId25" /><Relationship Type="http://schemas.openxmlformats.org/officeDocument/2006/relationships/hyperlink" Target="https://www.instagram.com/stories/decodeactu/4012667101185949589" TargetMode="External" Id="rId26" /><Relationship Type="http://schemas.openxmlformats.org/officeDocument/2006/relationships/hyperlink" Target="https://www.instagram.com/stories/decodeactu/4012689022548033578" TargetMode="External" Id="rId27" /><Relationship Type="http://schemas.openxmlformats.org/officeDocument/2006/relationships/hyperlink" Target="https://www.instagram.com/stories/decodeactu/4012750071917523183" TargetMode="External" Id="rId28" /><Relationship Type="http://schemas.openxmlformats.org/officeDocument/2006/relationships/hyperlink" Target="https://www.instagram.com/stories/decodeactu/4012811853110464305" TargetMode="External" Id="rId29" /><Relationship Type="http://schemas.openxmlformats.org/officeDocument/2006/relationships/hyperlink" Target="https://www.instagram.com/stories/decodeactu/4012901221690811980" TargetMode="External" Id="rId30" /><Relationship Type="http://schemas.openxmlformats.org/officeDocument/2006/relationships/hyperlink" Target="https://www.instagram.com/stories/decodeactu/4012933171482325794" TargetMode="External" Id="rId31" /><Relationship Type="http://schemas.openxmlformats.org/officeDocument/2006/relationships/hyperlink" Target="https://www.instagram.com/stories/decodeactu/4013418547984573890" TargetMode="External" Id="rId32" /><Relationship Type="http://schemas.openxmlformats.org/officeDocument/2006/relationships/hyperlink" Target="https://www.instagram.com/stories/decodeactu/4013537525339613060" TargetMode="External" Id="rId33" /><Relationship Type="http://schemas.openxmlformats.org/officeDocument/2006/relationships/hyperlink" Target="https://www.instagram.com/stories/decodeactu/4014923972316205667" TargetMode="External" Id="rId34" /><Relationship Type="http://schemas.openxmlformats.org/officeDocument/2006/relationships/hyperlink" Target="https://www.instagram.com/stories/decodeactu/4014997794356743780" TargetMode="External" Id="rId35" /><Relationship Type="http://schemas.openxmlformats.org/officeDocument/2006/relationships/hyperlink" Target="https://www.instagram.com/stories/decodeactu/4015041228345607820" TargetMode="External" Id="rId36" /><Relationship Type="http://schemas.openxmlformats.org/officeDocument/2006/relationships/hyperlink" Target="https://www.instagram.com/stories/decodeactu/4015041354560585133" TargetMode="External" Id="rId37" /><Relationship Type="http://schemas.openxmlformats.org/officeDocument/2006/relationships/hyperlink" Target="https://www.instagram.com/stories/decodeactu/4015041982917596318" TargetMode="External" Id="rId38" /><Relationship Type="http://schemas.openxmlformats.org/officeDocument/2006/relationships/hyperlink" Target="https://www.instagram.com/stories/decodeactu/4015132078463115190" TargetMode="External" Id="rId39" /><Relationship Type="http://schemas.openxmlformats.org/officeDocument/2006/relationships/hyperlink" Target="https://www.instagram.com/stories/decodeactu/4015171033832703893" TargetMode="External" Id="rId40" /><Relationship Type="http://schemas.openxmlformats.org/officeDocument/2006/relationships/hyperlink" Target="https://www.instagram.com/stories/decodeactu/4015741623493632842" TargetMode="External" Id="rId41" /><Relationship Type="http://schemas.openxmlformats.org/officeDocument/2006/relationships/hyperlink" Target="https://www.instagram.com/stories/decodeactu/4015766774570776049" TargetMode="External" Id="rId42" /><Relationship Type="http://schemas.openxmlformats.org/officeDocument/2006/relationships/hyperlink" Target="https://www.instagram.com/stories/decodeactu/4015767537489537076" TargetMode="External" Id="rId43" /><Relationship Type="http://schemas.openxmlformats.org/officeDocument/2006/relationships/hyperlink" Target="https://www.instagram.com/stories/decodeactu/4015779977735830798" TargetMode="External" Id="rId44" /><Relationship Type="http://schemas.openxmlformats.org/officeDocument/2006/relationships/hyperlink" Target="https://www.instagram.com/stories/decodeactu/4015871364691326327" TargetMode="External" Id="rId45" /><Relationship Type="http://schemas.openxmlformats.org/officeDocument/2006/relationships/hyperlink" Target="https://www.instagram.com/stories/decodeactu/4017010250876675593" TargetMode="External" Id="rId46" /><Relationship Type="http://schemas.openxmlformats.org/officeDocument/2006/relationships/hyperlink" Target="https://www.instagram.com/stories/decodeactu/4017131993889283755" TargetMode="External" Id="rId47" /><Relationship Type="http://schemas.openxmlformats.org/officeDocument/2006/relationships/hyperlink" Target="https://www.instagram.com/stories/decodeactu/4018414123239118308" TargetMode="External" Id="rId48" /><Relationship Type="http://schemas.openxmlformats.org/officeDocument/2006/relationships/hyperlink" Target="https://www.instagram.com/stories/decodeactu/4018483103425556840" TargetMode="External" Id="rId49" /><Relationship Type="http://schemas.openxmlformats.org/officeDocument/2006/relationships/drawing" Target="/xl/drawings/drawing7.xml" Id="rId5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3" customWidth="1" min="4" max="4"/>
    <col width="12" customWidth="1" min="5" max="5"/>
    <col width="11" customWidth="1" min="6" max="6"/>
    <col width="11" customWidth="1" min="7" max="7"/>
    <col width="10" customWidth="1" min="8" max="8"/>
    <col width="11" customWidth="1" min="9" max="9"/>
    <col width="11" customWidth="1" min="10" max="10"/>
    <col width="10" customWidth="1" min="11" max="11"/>
    <col width="12" customWidth="1" min="12" max="12"/>
    <col width="10" customWidth="1" min="13" max="13"/>
  </cols>
  <sheetData>
    <row r="1" ht="32" customHeight="1">
      <c r="A1" s="1" t="inlineStr">
        <is>
          <t>Jour</t>
        </is>
      </c>
      <c r="B1" s="1" t="inlineStr">
        <is>
          <t>Abonnés</t>
        </is>
      </c>
      <c r="C1" s="1" t="inlineStr">
        <is>
          <t>Abonnés gagnés</t>
        </is>
      </c>
      <c r="D1" s="1" t="inlineStr">
        <is>
          <t>Vues cumulées des vidéos</t>
        </is>
      </c>
      <c r="E1" s="1" t="inlineStr">
        <is>
          <t>Vues du jour (vidéos)</t>
        </is>
      </c>
      <c r="F1" s="1" t="inlineStr">
        <is>
          <t>Portée du compte</t>
        </is>
      </c>
      <c r="G1" s="1" t="inlineStr">
        <is>
          <t>Vues du compte</t>
        </is>
      </c>
      <c r="H1" s="1" t="inlineStr">
        <is>
          <t>Visites du profil</t>
        </is>
      </c>
      <c r="I1" s="1" t="inlineStr">
        <is>
          <t>Comptes engagés</t>
        </is>
      </c>
      <c r="J1" s="1" t="inlineStr">
        <is>
          <t>Interactions</t>
        </is>
      </c>
      <c r="K1" s="1" t="inlineStr">
        <is>
          <t>Clics lien bio</t>
        </is>
      </c>
      <c r="L1" s="1" t="inlineStr">
        <is>
          <t>Vues des stories du jour</t>
        </is>
      </c>
      <c r="M1" s="1" t="inlineStr">
        <is>
          <t>Vidéos publiées</t>
        </is>
      </c>
    </row>
    <row r="2">
      <c r="A2" s="2" t="inlineStr">
        <is>
          <t>2026-10-18</t>
        </is>
      </c>
      <c r="B2" s="3" t="n">
        <v>4</v>
      </c>
      <c r="C2" s="3">
        <f>IF(ROW()=2,"",B2-B1)</f>
        <v/>
      </c>
      <c r="D2" s="3" t="n">
        <v>868</v>
      </c>
      <c r="E2" s="3">
        <f>IF(ROW()=2,D2,D2-D1)</f>
        <v/>
      </c>
      <c r="F2" s="3" t="n">
        <v>728</v>
      </c>
      <c r="G2" s="3" t="n">
        <v>880</v>
      </c>
      <c r="H2" s="3" t="n">
        <v>19</v>
      </c>
      <c r="I2" s="3" t="n">
        <v>11</v>
      </c>
      <c r="J2" s="3" t="n">
        <v>28</v>
      </c>
      <c r="K2" s="3" t="n">
        <v>0</v>
      </c>
      <c r="L2" s="3" t="n">
        <v>32</v>
      </c>
      <c r="M2" s="3" t="n">
        <v>4</v>
      </c>
    </row>
    <row r="3">
      <c r="A3" s="2" t="inlineStr">
        <is>
          <t>2026-10-19</t>
        </is>
      </c>
      <c r="B3" s="3" t="n">
        <v>4</v>
      </c>
      <c r="C3" s="3">
        <f>IF(ROW()=2,"",B3-B2)</f>
        <v/>
      </c>
      <c r="D3" s="3" t="n">
        <v>2318</v>
      </c>
      <c r="E3" s="3">
        <f>IF(ROW()=2,D3,D3-D2)</f>
        <v/>
      </c>
      <c r="F3" s="3" t="n">
        <v>1728</v>
      </c>
      <c r="G3" s="3" t="n">
        <v>2154</v>
      </c>
      <c r="H3" s="3" t="n">
        <v>17</v>
      </c>
      <c r="I3" s="3" t="n">
        <v>30</v>
      </c>
      <c r="J3" s="3" t="n">
        <v>48</v>
      </c>
      <c r="K3" s="3" t="n">
        <v>0</v>
      </c>
      <c r="L3" s="3" t="n">
        <v>14</v>
      </c>
      <c r="M3" s="3" t="n">
        <v>4</v>
      </c>
    </row>
    <row r="4">
      <c r="A4" s="2" t="inlineStr">
        <is>
          <t>2026-10-20</t>
        </is>
      </c>
      <c r="B4" s="3" t="n">
        <v>4</v>
      </c>
      <c r="C4" s="3">
        <f>IF(ROW()=2,"",B4-B3)</f>
        <v/>
      </c>
      <c r="D4" s="3" t="n">
        <v>2620</v>
      </c>
      <c r="E4" s="3">
        <f>IF(ROW()=2,D4,D4-D3)</f>
        <v/>
      </c>
      <c r="F4" s="3" t="n">
        <v>831</v>
      </c>
      <c r="G4" s="3" t="n">
        <v>1000</v>
      </c>
      <c r="H4" s="3" t="n">
        <v>6</v>
      </c>
      <c r="I4" s="3" t="n">
        <v>8</v>
      </c>
      <c r="J4" s="3" t="n">
        <v>16</v>
      </c>
      <c r="K4" s="3" t="n">
        <v>0</v>
      </c>
      <c r="L4" s="3" t="n">
        <v>4</v>
      </c>
      <c r="M4" s="3" t="n">
        <v>1</v>
      </c>
    </row>
    <row r="5">
      <c r="A5" s="2" t="inlineStr">
        <is>
          <t>2026-10-21</t>
        </is>
      </c>
      <c r="B5" s="3" t="n">
        <v>4</v>
      </c>
      <c r="C5" s="3">
        <f>IF(ROW()=2,"",B5-B4)</f>
        <v/>
      </c>
      <c r="D5" s="3" t="n">
        <v>2977</v>
      </c>
      <c r="E5" s="3">
        <f>IF(ROW()=2,D5,D5-D4)</f>
        <v/>
      </c>
      <c r="F5" s="3" t="n">
        <v>363</v>
      </c>
      <c r="G5" s="3" t="n">
        <v>453</v>
      </c>
      <c r="H5" s="3" t="n">
        <v>4</v>
      </c>
      <c r="I5" s="3" t="n">
        <v>4</v>
      </c>
      <c r="J5" s="3" t="n">
        <v>7</v>
      </c>
      <c r="K5" s="3" t="n">
        <v>0</v>
      </c>
      <c r="L5" s="3" t="n">
        <v>9</v>
      </c>
      <c r="M5" s="3" t="n">
        <v>2</v>
      </c>
    </row>
    <row r="6">
      <c r="A6" s="2" t="inlineStr">
        <is>
          <t>2026-10-22</t>
        </is>
      </c>
      <c r="B6" s="3" t="n">
        <v>4</v>
      </c>
      <c r="C6" s="3">
        <f>IF(ROW()=2,"",B6-B5)</f>
        <v/>
      </c>
      <c r="D6" s="3" t="n">
        <v>2728</v>
      </c>
      <c r="E6" s="3">
        <f>IF(ROW()=2,D6,D6-D5)</f>
        <v/>
      </c>
      <c r="F6" s="3" t="n">
        <v>343</v>
      </c>
      <c r="G6" s="3" t="n">
        <v>431</v>
      </c>
      <c r="H6" s="3" t="n">
        <v>2</v>
      </c>
      <c r="I6" s="3" t="n">
        <v>2</v>
      </c>
      <c r="J6" s="3" t="n">
        <v>4</v>
      </c>
      <c r="K6" s="3" t="n">
        <v>0</v>
      </c>
      <c r="L6" s="3" t="n">
        <v>3</v>
      </c>
      <c r="M6" s="3" t="n">
        <v>1</v>
      </c>
    </row>
    <row r="7">
      <c r="A7" s="2" t="inlineStr">
        <is>
          <t>2026-10-23</t>
        </is>
      </c>
      <c r="B7" s="3" t="n">
        <v>4</v>
      </c>
      <c r="C7" s="3">
        <f>IF(ROW()=2,"",B7-B6)</f>
        <v/>
      </c>
      <c r="D7" s="3" t="n">
        <v>2770</v>
      </c>
      <c r="E7" s="3">
        <f>IF(ROW()=2,D7,D7-D6)</f>
        <v/>
      </c>
      <c r="F7" s="3" t="n">
        <v>71</v>
      </c>
      <c r="G7" s="3" t="n">
        <v>81</v>
      </c>
      <c r="H7" s="3" t="n">
        <v>0</v>
      </c>
      <c r="I7" s="3" t="n">
        <v>0</v>
      </c>
      <c r="J7" s="3" t="n">
        <v>0</v>
      </c>
      <c r="K7" s="3" t="n">
        <v>0</v>
      </c>
      <c r="L7" s="3" t="n">
        <v>0</v>
      </c>
      <c r="M7" s="3" t="n">
        <v>0</v>
      </c>
    </row>
    <row r="8">
      <c r="A8" s="2" t="inlineStr">
        <is>
          <t>2026-10-24</t>
        </is>
      </c>
      <c r="B8" s="3" t="n">
        <v>4</v>
      </c>
      <c r="C8" s="3">
        <f>IF(ROW()=2,"",B8-B7)</f>
        <v/>
      </c>
      <c r="D8" s="3" t="n">
        <v>2589</v>
      </c>
      <c r="E8" s="3">
        <f>IF(ROW()=2,D8,D8-D7)</f>
        <v/>
      </c>
      <c r="F8" s="3" t="n">
        <v>131</v>
      </c>
      <c r="G8" s="3" t="n">
        <v>149</v>
      </c>
      <c r="H8" s="3" t="n">
        <v>6</v>
      </c>
      <c r="I8" s="3" t="n">
        <v>1</v>
      </c>
      <c r="J8" s="3" t="n">
        <v>2</v>
      </c>
      <c r="K8" s="3" t="n">
        <v>0</v>
      </c>
      <c r="L8" s="3" t="n">
        <v>12</v>
      </c>
      <c r="M8" s="3" t="n">
        <v>2</v>
      </c>
    </row>
    <row r="9">
      <c r="A9" s="2" t="inlineStr">
        <is>
          <t>2026-10-25</t>
        </is>
      </c>
      <c r="B9" s="3" t="n">
        <v>6</v>
      </c>
      <c r="C9" s="3">
        <f>IF(ROW()=2,"",B9-B8)</f>
        <v/>
      </c>
      <c r="D9" s="3" t="n">
        <v>1609</v>
      </c>
      <c r="E9" s="3">
        <f>IF(ROW()=2,D9,D9-D8)</f>
        <v/>
      </c>
      <c r="F9" s="3" t="n">
        <v>446</v>
      </c>
      <c r="G9" s="3" t="n">
        <v>529</v>
      </c>
      <c r="H9" s="3" t="n">
        <v>10</v>
      </c>
      <c r="I9" s="3" t="n">
        <v>5</v>
      </c>
      <c r="J9" s="3" t="n">
        <v>12</v>
      </c>
      <c r="K9" s="3" t="n">
        <v>0</v>
      </c>
      <c r="L9" s="3" t="n">
        <v>5</v>
      </c>
      <c r="M9" s="3" t="n">
        <v>2</v>
      </c>
    </row>
    <row r="10">
      <c r="A10" s="2" t="inlineStr">
        <is>
          <t>2026-10-26</t>
        </is>
      </c>
      <c r="B10" s="3" t="n">
        <v>7</v>
      </c>
      <c r="C10" s="3">
        <f>IF(ROW()=2,"",B10-B9)</f>
        <v/>
      </c>
      <c r="D10" s="3" t="n">
        <v>1864</v>
      </c>
      <c r="E10" s="3">
        <f>IF(ROW()=2,D10,D10-D9)</f>
        <v/>
      </c>
      <c r="F10" s="3" t="n">
        <v>373</v>
      </c>
      <c r="G10" s="3" t="n">
        <v>452</v>
      </c>
      <c r="H10" s="3" t="n">
        <v>7</v>
      </c>
      <c r="I10" s="3" t="n">
        <v>3</v>
      </c>
      <c r="J10" s="3" t="n">
        <v>8</v>
      </c>
      <c r="K10" s="3" t="n">
        <v>0</v>
      </c>
      <c r="L10" s="3" t="n">
        <v>0</v>
      </c>
      <c r="M10" s="3" t="n">
        <v>0</v>
      </c>
    </row>
    <row r="11">
      <c r="A11" s="2" t="inlineStr">
        <is>
          <t>2026-10-27</t>
        </is>
      </c>
      <c r="B11" s="3" t="n">
        <v>7</v>
      </c>
      <c r="C11" s="3">
        <f>IF(ROW()=2,"",B11-B10)</f>
        <v/>
      </c>
      <c r="D11" s="3" t="n">
        <v>1844</v>
      </c>
      <c r="E11" s="3">
        <f>IF(ROW()=2,D11,D11-D10)</f>
        <v/>
      </c>
      <c r="F11" s="3" t="n">
        <v>88</v>
      </c>
      <c r="G11" s="3" t="n">
        <v>102</v>
      </c>
      <c r="H11" s="3" t="n">
        <v>3</v>
      </c>
      <c r="I11" s="3" t="n">
        <v>1</v>
      </c>
      <c r="J11" s="3" t="n">
        <v>5</v>
      </c>
      <c r="K11" s="3" t="n">
        <v>0</v>
      </c>
      <c r="L11" s="3" t="n">
        <v>1</v>
      </c>
      <c r="M11" s="3" t="n">
        <v>1</v>
      </c>
    </row>
    <row r="12">
      <c r="A12" s="2" t="inlineStr">
        <is>
          <t>2026-10-28</t>
        </is>
      </c>
      <c r="B12" s="3" t="n">
        <v>7</v>
      </c>
      <c r="C12" s="3">
        <f>IF(ROW()=2,"",B12-B11)</f>
        <v/>
      </c>
      <c r="D12" s="3" t="n">
        <v>1859</v>
      </c>
      <c r="E12" s="3">
        <f>IF(ROW()=2,D12,D12-D11)</f>
        <v/>
      </c>
      <c r="F12" s="3" t="n">
        <v>100</v>
      </c>
      <c r="G12" s="3" t="n">
        <v>110</v>
      </c>
      <c r="H12" s="3" t="n">
        <v>1</v>
      </c>
      <c r="I12" s="3" t="n">
        <v>0</v>
      </c>
      <c r="J12" s="3" t="n">
        <v>0</v>
      </c>
      <c r="K12" s="3" t="n">
        <v>0</v>
      </c>
      <c r="L12" s="3" t="n">
        <v>0</v>
      </c>
      <c r="M12" s="3" t="n">
        <v>0</v>
      </c>
    </row>
    <row r="13">
      <c r="A13" s="2" t="inlineStr">
        <is>
          <t>2026-10-29</t>
        </is>
      </c>
      <c r="B13" s="3" t="n">
        <v>7</v>
      </c>
      <c r="C13" s="3">
        <f>IF(ROW()=2,"",B13-B12)</f>
        <v/>
      </c>
      <c r="D13" s="3" t="n">
        <v>1860</v>
      </c>
      <c r="E13" s="3">
        <f>IF(ROW()=2,D13,D13-D12)</f>
        <v/>
      </c>
      <c r="F13" s="3" t="n">
        <v>107</v>
      </c>
      <c r="G13" s="3" t="n">
        <v>115</v>
      </c>
      <c r="H13" s="3" t="n">
        <v>0</v>
      </c>
      <c r="I13" s="3" t="n">
        <v>0</v>
      </c>
      <c r="J13" s="3" t="n">
        <v>0</v>
      </c>
      <c r="K13" s="3" t="n">
        <v>0</v>
      </c>
      <c r="L13" s="3" t="n">
        <v>1</v>
      </c>
      <c r="M13" s="3" t="n">
        <v>1</v>
      </c>
    </row>
    <row r="14">
      <c r="A14" s="2" t="inlineStr">
        <is>
          <t>2026-10-30</t>
        </is>
      </c>
      <c r="B14" s="3" t="n">
        <v>7</v>
      </c>
      <c r="C14" s="3">
        <f>IF(ROW()=2,"",B14-B13)</f>
        <v/>
      </c>
      <c r="D14" s="3" t="n">
        <v>4349</v>
      </c>
      <c r="E14" s="3">
        <f>IF(ROW()=2,D14,D14-D13)</f>
        <v/>
      </c>
      <c r="F14" s="3" t="n">
        <v>107</v>
      </c>
      <c r="G14" s="3" t="n">
        <v>113</v>
      </c>
      <c r="H14" s="3" t="n">
        <v>0</v>
      </c>
      <c r="I14" s="3" t="n">
        <v>0</v>
      </c>
      <c r="J14" s="3" t="n">
        <v>0</v>
      </c>
      <c r="K14" s="3" t="n">
        <v>0</v>
      </c>
      <c r="L14" s="3" t="n">
        <v>0</v>
      </c>
      <c r="M14" s="3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12" customWidth="1" min="3" max="3"/>
    <col width="9" customWidth="1" min="4" max="4"/>
    <col width="11" customWidth="1" min="5" max="5"/>
    <col width="8" customWidth="1" min="6" max="6"/>
    <col width="12" customWidth="1" min="7" max="7"/>
    <col width="9" customWidth="1" min="8" max="8"/>
    <col width="13" customWidth="1" min="9" max="9"/>
    <col width="11" customWidth="1" min="10" max="10"/>
    <col width="12" customWidth="1" min="11" max="11"/>
    <col width="12" customWidth="1" min="12" max="12"/>
  </cols>
  <sheetData>
    <row r="1" ht="32" customHeight="1">
      <c r="A1" s="1" t="inlineStr">
        <is>
          <t>Publiée le</t>
        </is>
      </c>
      <c r="B1" s="1" t="inlineStr">
        <is>
          <t>Titre</t>
        </is>
      </c>
      <c r="C1" s="1" t="inlineStr">
        <is>
          <t>Lien</t>
        </is>
      </c>
      <c r="D1" s="1" t="inlineStr">
        <is>
          <t>Vues</t>
        </is>
      </c>
      <c r="E1" s="1" t="inlineStr">
        <is>
          <t>Comptes touchés</t>
        </is>
      </c>
      <c r="F1" s="1" t="inlineStr">
        <is>
          <t>Likes</t>
        </is>
      </c>
      <c r="G1" s="1" t="inlineStr">
        <is>
          <t>Commentaires</t>
        </is>
      </c>
      <c r="H1" s="1" t="inlineStr">
        <is>
          <t>Partages</t>
        </is>
      </c>
      <c r="I1" s="1" t="inlineStr">
        <is>
          <t>Enregistrements</t>
        </is>
      </c>
      <c r="J1" s="1" t="inlineStr">
        <is>
          <t>Interactions</t>
        </is>
      </c>
      <c r="K1" s="1" t="inlineStr">
        <is>
          <t>Taux d'engagement</t>
        </is>
      </c>
      <c r="L1" s="1" t="inlineStr">
        <is>
          <t>Vues / comptes touchés</t>
        </is>
      </c>
    </row>
    <row r="2">
      <c r="A2" s="2" t="inlineStr">
        <is>
          <t>2026-10-17 19:08</t>
        </is>
      </c>
      <c r="B2" s="2" t="inlineStr">
        <is>
          <t>⚠️ Contenu effrayant… ou pas ? Le 17 octobre,</t>
        </is>
      </c>
      <c r="C2" s="4" t="inlineStr">
        <is>
          <t>ouvrir</t>
        </is>
      </c>
      <c r="D2" s="3" t="n">
        <v>348</v>
      </c>
      <c r="E2" s="3" t="n">
        <v>305</v>
      </c>
      <c r="F2" s="3" t="n">
        <v>4</v>
      </c>
      <c r="G2" s="3" t="n">
        <v>0</v>
      </c>
      <c r="H2" s="3" t="n">
        <v>0</v>
      </c>
      <c r="I2" s="3" t="n">
        <v>0</v>
      </c>
      <c r="J2" s="3" t="n">
        <v>4</v>
      </c>
      <c r="K2" s="5">
        <f>IFERROR((F2+G2+H2+I2)/IF(E2&gt;0,E2,D2),0)</f>
        <v/>
      </c>
      <c r="L2" s="6">
        <f>IFERROR(D2/E2,0)</f>
        <v/>
      </c>
    </row>
    <row r="3">
      <c r="A3" s="2" t="inlineStr">
        <is>
          <t>2026-10-18 10:14</t>
        </is>
      </c>
      <c r="B3" s="2" t="inlineStr">
        <is>
          <t>FLASH SPÉCIAL 🚨 550 000 ou 800 000 ? Le bilan</t>
        </is>
      </c>
      <c r="C3" s="4" t="inlineStr">
        <is>
          <t>ouvrir</t>
        </is>
      </c>
      <c r="D3" s="3" t="n">
        <v>133</v>
      </c>
      <c r="E3" s="3" t="n">
        <v>121</v>
      </c>
      <c r="F3" s="3" t="n">
        <v>2</v>
      </c>
      <c r="G3" s="3" t="n">
        <v>0</v>
      </c>
      <c r="H3" s="3" t="n">
        <v>0</v>
      </c>
      <c r="I3" s="3" t="n">
        <v>0</v>
      </c>
      <c r="J3" s="3" t="n">
        <v>2</v>
      </c>
      <c r="K3" s="5">
        <f>IFERROR((F3+G3+H3+I3)/IF(E3&gt;0,E3,D3),0)</f>
        <v/>
      </c>
      <c r="L3" s="6">
        <f>IFERROR(D3/E3,0)</f>
        <v/>
      </c>
    </row>
    <row r="4">
      <c r="A4" s="2" t="inlineStr">
        <is>
          <t>2026-10-18 10:34</t>
        </is>
      </c>
      <c r="B4" s="2" t="inlineStr">
        <is>
          <t>POV : ta mamie t'écrit « ma retraite va baiss</t>
        </is>
      </c>
      <c r="C4" s="4" t="inlineStr">
        <is>
          <t>ouvrir</t>
        </is>
      </c>
      <c r="D4" s="3" t="n">
        <v>120</v>
      </c>
      <c r="E4" s="3" t="n">
        <v>115</v>
      </c>
      <c r="F4" s="3" t="n">
        <v>2</v>
      </c>
      <c r="G4" s="3" t="n">
        <v>0</v>
      </c>
      <c r="H4" s="3" t="n">
        <v>0</v>
      </c>
      <c r="I4" s="3" t="n">
        <v>0</v>
      </c>
      <c r="J4" s="3" t="n">
        <v>2</v>
      </c>
      <c r="K4" s="5">
        <f>IFERROR((F4+G4+H4+I4)/IF(E4&gt;0,E4,D4),0)</f>
        <v/>
      </c>
      <c r="L4" s="6">
        <f>IFERROR(D4/E4,0)</f>
        <v/>
      </c>
    </row>
    <row r="5">
      <c r="A5" s="2" t="inlineStr">
        <is>
          <t>2026-10-18 13:04</t>
        </is>
      </c>
      <c r="B5" s="2" t="inlineStr">
        <is>
          <t>👻 On ne parle que des casseurs… et les revend</t>
        </is>
      </c>
      <c r="C5" s="4" t="inlineStr">
        <is>
          <t>ouvrir</t>
        </is>
      </c>
      <c r="D5" s="3" t="n">
        <v>191</v>
      </c>
      <c r="E5" s="3" t="n">
        <v>171</v>
      </c>
      <c r="F5" s="3" t="n">
        <v>4</v>
      </c>
      <c r="G5" s="3" t="n">
        <v>0</v>
      </c>
      <c r="H5" s="3" t="n">
        <v>0</v>
      </c>
      <c r="I5" s="3" t="n">
        <v>0</v>
      </c>
      <c r="J5" s="3" t="n">
        <v>5</v>
      </c>
      <c r="K5" s="5">
        <f>IFERROR((F5+G5+H5+I5)/IF(E5&gt;0,E5,D5),0)</f>
        <v/>
      </c>
      <c r="L5" s="6">
        <f>IFERROR(D5/E5,0)</f>
        <v/>
      </c>
    </row>
    <row r="6">
      <c r="A6" s="2" t="inlineStr">
        <is>
          <t>2026-10-18 13:52</t>
        </is>
      </c>
      <c r="B6" s="2" t="inlineStr">
        <is>
          <t>👑 Vendredi soir : Macron au concert de Céline</t>
        </is>
      </c>
      <c r="C6" s="4" t="inlineStr">
        <is>
          <t>ouvrir</t>
        </is>
      </c>
      <c r="D6" s="3" t="n">
        <v>1156</v>
      </c>
      <c r="E6" s="3" t="n">
        <v>1003</v>
      </c>
      <c r="F6" s="3" t="n">
        <v>17</v>
      </c>
      <c r="G6" s="3" t="n">
        <v>2</v>
      </c>
      <c r="H6" s="3" t="n">
        <v>0</v>
      </c>
      <c r="I6" s="3" t="n">
        <v>0</v>
      </c>
      <c r="J6" s="3" t="n">
        <v>20</v>
      </c>
      <c r="K6" s="5">
        <f>IFERROR((F6+G6+H6+I6)/IF(E6&gt;0,E6,D6),0)</f>
        <v/>
      </c>
      <c r="L6" s="6">
        <f>IFERROR(D6/E6,0)</f>
        <v/>
      </c>
    </row>
    <row r="7">
      <c r="A7" s="2" t="inlineStr">
        <is>
          <t>2026-10-18 20:18</t>
        </is>
      </c>
      <c r="B7" s="2" t="inlineStr">
        <is>
          <t>😱 Ma réaction à ce qui t'attend le 1er novemb</t>
        </is>
      </c>
      <c r="C7" s="4" t="inlineStr">
        <is>
          <t>ouvrir</t>
        </is>
      </c>
      <c r="D7" s="3" t="n">
        <v>121</v>
      </c>
      <c r="E7" s="3" t="n">
        <v>109</v>
      </c>
      <c r="F7" s="3" t="n">
        <v>2</v>
      </c>
      <c r="G7" s="3" t="n">
        <v>0</v>
      </c>
      <c r="H7" s="3" t="n">
        <v>0</v>
      </c>
      <c r="I7" s="3" t="n">
        <v>0</v>
      </c>
      <c r="J7" s="3" t="n">
        <v>2</v>
      </c>
      <c r="K7" s="5">
        <f>IFERROR((F7+G7+H7+I7)/IF(E7&gt;0,E7,D7),0)</f>
        <v/>
      </c>
      <c r="L7" s="6">
        <f>IFERROR(D7/E7,0)</f>
        <v/>
      </c>
    </row>
    <row r="8">
      <c r="A8" s="2" t="inlineStr">
        <is>
          <t>2026-10-19 06:14</t>
        </is>
      </c>
      <c r="B8" s="2" t="inlineStr">
        <is>
          <t>🧮 Quiz : ta manif dégénère et tu restes après</t>
        </is>
      </c>
      <c r="C8" s="4" t="inlineStr">
        <is>
          <t>ouvrir</t>
        </is>
      </c>
      <c r="D8" s="3" t="n">
        <v>110</v>
      </c>
      <c r="E8" s="3" t="n">
        <v>104</v>
      </c>
      <c r="F8" s="3" t="n">
        <v>1</v>
      </c>
      <c r="G8" s="3" t="n">
        <v>0</v>
      </c>
      <c r="H8" s="3" t="n">
        <v>0</v>
      </c>
      <c r="I8" s="3" t="n">
        <v>0</v>
      </c>
      <c r="J8" s="3" t="n">
        <v>1</v>
      </c>
      <c r="K8" s="5">
        <f>IFERROR((F8+G8+H8+I8)/IF(E8&gt;0,E8,D8),0)</f>
        <v/>
      </c>
      <c r="L8" s="6">
        <f>IFERROR(D8/E8,0)</f>
        <v/>
      </c>
    </row>
    <row r="9">
      <c r="A9" s="2" t="inlineStr">
        <is>
          <t>2026-10-19 08:14</t>
        </is>
      </c>
      <c r="B9" s="2" t="inlineStr">
        <is>
          <t>Et soudain, 718 stations sans gazole. Ta stat</t>
        </is>
      </c>
      <c r="C9" s="4" t="inlineStr">
        <is>
          <t>ouvrir</t>
        </is>
      </c>
      <c r="D9" s="3" t="n">
        <v>86</v>
      </c>
      <c r="E9" s="3" t="n">
        <v>82</v>
      </c>
      <c r="F9" s="3" t="n">
        <v>1</v>
      </c>
      <c r="G9" s="3" t="n">
        <v>0</v>
      </c>
      <c r="H9" s="3" t="n">
        <v>0</v>
      </c>
      <c r="I9" s="3" t="n">
        <v>0</v>
      </c>
      <c r="J9" s="3" t="n">
        <v>1</v>
      </c>
      <c r="K9" s="5">
        <f>IFERROR((F9+G9+H9+I9)/IF(E9&gt;0,E9,D9),0)</f>
        <v/>
      </c>
      <c r="L9" s="6">
        <f>IFERROR(D9/E9,0)</f>
        <v/>
      </c>
    </row>
    <row r="10">
      <c r="A10" s="2" t="inlineStr">
        <is>
          <t>2026-10-19 09:09</t>
        </is>
      </c>
      <c r="B10" s="2" t="inlineStr">
        <is>
          <t>Les vitrines d'abord. Toi, après. Pour les co</t>
        </is>
      </c>
      <c r="C10" s="4" t="inlineStr">
        <is>
          <t>ouvrir</t>
        </is>
      </c>
      <c r="D10" s="3" t="n">
        <v>113</v>
      </c>
      <c r="E10" s="3" t="n">
        <v>100</v>
      </c>
      <c r="F10" s="3" t="n">
        <v>1</v>
      </c>
      <c r="G10" s="3" t="n">
        <v>0</v>
      </c>
      <c r="H10" s="3" t="n">
        <v>0</v>
      </c>
      <c r="I10" s="3" t="n">
        <v>0</v>
      </c>
      <c r="J10" s="3" t="n">
        <v>1</v>
      </c>
      <c r="K10" s="5">
        <f>IFERROR((F10+G10+H10+I10)/IF(E10&gt;0,E10,D10),0)</f>
        <v/>
      </c>
      <c r="L10" s="6">
        <f>IFERROR(D10/E10,0)</f>
        <v/>
      </c>
    </row>
    <row r="11">
      <c r="A11" s="2" t="inlineStr">
        <is>
          <t>2026-10-19 12:05</t>
        </is>
      </c>
      <c r="B11" s="2" t="inlineStr">
        <is>
          <t xml:space="preserve">📩 « Jeudi 5 novembre, la France s'arrête. -A </t>
        </is>
      </c>
      <c r="C11" s="4" t="inlineStr">
        <is>
          <t>ouvrir</t>
        </is>
      </c>
      <c r="D11" s="3" t="n">
        <v>111</v>
      </c>
      <c r="E11" s="3" t="n">
        <v>104</v>
      </c>
      <c r="F11" s="3" t="n">
        <v>0</v>
      </c>
      <c r="G11" s="3" t="n">
        <v>0</v>
      </c>
      <c r="H11" s="3" t="n">
        <v>0</v>
      </c>
      <c r="I11" s="3" t="n">
        <v>0</v>
      </c>
      <c r="J11" s="3" t="n">
        <v>0</v>
      </c>
      <c r="K11" s="5">
        <f>IFERROR((F11+G11+H11+I11)/IF(E11&gt;0,E11,D11),0)</f>
        <v/>
      </c>
      <c r="L11" s="6">
        <f>IFERROR(D11/E11,0)</f>
        <v/>
      </c>
    </row>
    <row r="12">
      <c r="A12" s="2" t="inlineStr">
        <is>
          <t>2026-10-19 17:59</t>
        </is>
      </c>
      <c r="B12" s="2" t="inlineStr">
        <is>
          <t>📖 Il était une fois des agriculteurs en colèr</t>
        </is>
      </c>
      <c r="C12" s="4" t="inlineStr">
        <is>
          <t>ouvrir</t>
        </is>
      </c>
      <c r="D12" s="3" t="n">
        <v>79</v>
      </c>
      <c r="E12" s="3" t="n">
        <v>71</v>
      </c>
      <c r="F12" s="3" t="n">
        <v>1</v>
      </c>
      <c r="G12" s="3" t="n">
        <v>0</v>
      </c>
      <c r="H12" s="3" t="n">
        <v>0</v>
      </c>
      <c r="I12" s="3" t="n">
        <v>0</v>
      </c>
      <c r="J12" s="3" t="n">
        <v>1</v>
      </c>
      <c r="K12" s="5">
        <f>IFERROR((F12+G12+H12+I12)/IF(E12&gt;0,E12,D12),0)</f>
        <v/>
      </c>
      <c r="L12" s="6">
        <f>IFERROR(D12/E12,0)</f>
        <v/>
      </c>
    </row>
    <row r="13">
      <c r="A13" s="2" t="inlineStr">
        <is>
          <t>2026-10-20 10:33</t>
        </is>
      </c>
      <c r="B13" s="2" t="inlineStr">
        <is>
          <t>Couvre-feux, manifs « encadrées, voire interd</t>
        </is>
      </c>
      <c r="C13" s="4" t="inlineStr">
        <is>
          <t>ouvrir</t>
        </is>
      </c>
      <c r="D13" s="3" t="n">
        <v>158</v>
      </c>
      <c r="E13" s="3" t="n">
        <v>141</v>
      </c>
      <c r="F13" s="3" t="n">
        <v>2</v>
      </c>
      <c r="G13" s="3" t="n">
        <v>0</v>
      </c>
      <c r="H13" s="3" t="n">
        <v>0</v>
      </c>
      <c r="I13" s="3" t="n">
        <v>2</v>
      </c>
      <c r="J13" s="3" t="n">
        <v>5</v>
      </c>
      <c r="K13" s="5">
        <f>IFERROR((F13+G13+H13+I13)/IF(E13&gt;0,E13,D13),0)</f>
        <v/>
      </c>
      <c r="L13" s="6">
        <f>IFERROR(D13/E13,0)</f>
        <v/>
      </c>
    </row>
    <row r="14">
      <c r="A14" s="2" t="inlineStr">
        <is>
          <t>2026-10-20 16:07</t>
        </is>
      </c>
      <c r="B14" s="2" t="inlineStr">
        <is>
          <t>Couvre-feu pour les ados, 5,6 milliards envol</t>
        </is>
      </c>
      <c r="C14" s="4" t="inlineStr">
        <is>
          <t>ouvrir</t>
        </is>
      </c>
      <c r="D14" s="3" t="n">
        <v>108</v>
      </c>
      <c r="E14" s="3" t="n">
        <v>102</v>
      </c>
      <c r="F14" s="3" t="n">
        <v>0</v>
      </c>
      <c r="G14" s="3" t="n">
        <v>0</v>
      </c>
      <c r="H14" s="3" t="n">
        <v>0</v>
      </c>
      <c r="I14" s="3" t="n">
        <v>0</v>
      </c>
      <c r="J14" s="3" t="n">
        <v>0</v>
      </c>
      <c r="K14" s="5">
        <f>IFERROR((F14+G14+H14+I14)/IF(E14&gt;0,E14,D14),0)</f>
        <v/>
      </c>
      <c r="L14" s="6">
        <f>IFERROR(D14/E14,0)</f>
        <v/>
      </c>
    </row>
    <row r="15">
      <c r="A15" s="2" t="inlineStr">
        <is>
          <t>2026-10-21 08:03</t>
        </is>
      </c>
      <c r="B15" s="2" t="inlineStr">
        <is>
          <t>Les syndicats de salariés auraient-ils dû êtr</t>
        </is>
      </c>
      <c r="C15" s="4" t="inlineStr">
        <is>
          <t>ouvrir</t>
        </is>
      </c>
      <c r="D15" s="3" t="n">
        <v>105</v>
      </c>
      <c r="E15" s="3" t="n">
        <v>87</v>
      </c>
      <c r="F15" s="3" t="n">
        <v>1</v>
      </c>
      <c r="G15" s="3" t="n">
        <v>0</v>
      </c>
      <c r="H15" s="3" t="n">
        <v>0</v>
      </c>
      <c r="I15" s="3" t="n">
        <v>0</v>
      </c>
      <c r="J15" s="3" t="n">
        <v>1</v>
      </c>
      <c r="K15" s="5">
        <f>IFERROR((F15+G15+H15+I15)/IF(E15&gt;0,E15,D15),0)</f>
        <v/>
      </c>
      <c r="L15" s="6">
        <f>IFERROR(D15/E15,0)</f>
        <v/>
      </c>
    </row>
    <row r="16">
      <c r="A16" s="2" t="inlineStr">
        <is>
          <t>2026-10-21 12:07</t>
        </is>
      </c>
      <c r="B16" s="2" t="inlineStr">
        <is>
          <t>À toi de juger : taxer les profits du pétrole</t>
        </is>
      </c>
      <c r="C16" s="4" t="inlineStr">
        <is>
          <t>ouvrir</t>
        </is>
      </c>
      <c r="D16" s="3" t="n">
        <v>128</v>
      </c>
      <c r="E16" s="3" t="n">
        <v>106</v>
      </c>
      <c r="F16" s="3" t="n">
        <v>0</v>
      </c>
      <c r="G16" s="3" t="n">
        <v>0</v>
      </c>
      <c r="H16" s="3" t="n">
        <v>0</v>
      </c>
      <c r="I16" s="3" t="n">
        <v>0</v>
      </c>
      <c r="J16" s="3" t="n">
        <v>1</v>
      </c>
      <c r="K16" s="5">
        <f>IFERROR((F16+G16+H16+I16)/IF(E16&gt;0,E16,D16),0)</f>
        <v/>
      </c>
      <c r="L16" s="6">
        <f>IFERROR(D16/E16,0)</f>
        <v/>
      </c>
    </row>
    <row r="17">
      <c r="A17" s="2" t="inlineStr">
        <is>
          <t>2026-10-21 16:08</t>
        </is>
      </c>
      <c r="B17" s="2" t="inlineStr">
        <is>
          <t>Gel des pensions : oui ou non ? Réponds en co</t>
        </is>
      </c>
      <c r="C17" s="4" t="inlineStr">
        <is>
          <t>ouvrir</t>
        </is>
      </c>
      <c r="D17" s="3" t="n">
        <v>114</v>
      </c>
      <c r="E17" s="3" t="n">
        <v>108</v>
      </c>
      <c r="F17" s="3" t="n">
        <v>0</v>
      </c>
      <c r="G17" s="3" t="n">
        <v>0</v>
      </c>
      <c r="H17" s="3" t="n">
        <v>0</v>
      </c>
      <c r="I17" s="3" t="n">
        <v>0</v>
      </c>
      <c r="J17" s="3" t="n">
        <v>0</v>
      </c>
      <c r="K17" s="5">
        <f>IFERROR((F17+G17+H17+I17)/IF(E17&gt;0,E17,D17),0)</f>
        <v/>
      </c>
      <c r="L17" s="6">
        <f>IFERROR(D17/E17,0)</f>
        <v/>
      </c>
    </row>
    <row r="18">
      <c r="A18" s="2" t="inlineStr">
        <is>
          <t>2026-10-22 12:09</t>
        </is>
      </c>
      <c r="B18" s="2" t="inlineStr">
        <is>
          <t>Couper les réseaux sociaux pendant les émeute</t>
        </is>
      </c>
      <c r="C18" s="4" t="inlineStr">
        <is>
          <t>ouvrir</t>
        </is>
      </c>
      <c r="D18" s="3" t="n">
        <v>76</v>
      </c>
      <c r="E18" s="3" t="n">
        <v>70</v>
      </c>
      <c r="F18" s="3" t="n">
        <v>0</v>
      </c>
      <c r="G18" s="3" t="n">
        <v>0</v>
      </c>
      <c r="H18" s="3" t="n">
        <v>0</v>
      </c>
      <c r="I18" s="3" t="n">
        <v>0</v>
      </c>
      <c r="J18" s="3" t="n">
        <v>0</v>
      </c>
      <c r="K18" s="5">
        <f>IFERROR((F18+G18+H18+I18)/IF(E18&gt;0,E18,D18),0)</f>
        <v/>
      </c>
      <c r="L18" s="6">
        <f>IFERROR(D18/E18,0)</f>
        <v/>
      </c>
    </row>
    <row r="19">
      <c r="A19" s="2" t="inlineStr">
        <is>
          <t>2026-10-24 12:30</t>
        </is>
      </c>
      <c r="B19" s="2" t="inlineStr">
        <is>
          <t>À toi de juger : il faut une enquête indépend</t>
        </is>
      </c>
      <c r="C19" s="4" t="inlineStr">
        <is>
          <t>ouvrir</t>
        </is>
      </c>
      <c r="D19" s="3" t="n">
        <v>133</v>
      </c>
      <c r="E19" s="3" t="n">
        <v>117</v>
      </c>
      <c r="F19" s="3" t="n">
        <v>1</v>
      </c>
      <c r="G19" s="3" t="n">
        <v>0</v>
      </c>
      <c r="H19" s="3" t="n">
        <v>0</v>
      </c>
      <c r="I19" s="3" t="n">
        <v>0</v>
      </c>
      <c r="J19" s="3" t="n">
        <v>2</v>
      </c>
      <c r="K19" s="5">
        <f>IFERROR((F19+G19+H19+I19)/IF(E19&gt;0,E19,D19),0)</f>
        <v/>
      </c>
      <c r="L19" s="6">
        <f>IFERROR(D19/E19,0)</f>
        <v/>
      </c>
    </row>
    <row r="20">
      <c r="A20" s="2" t="inlineStr">
        <is>
          <t>2026-10-24 13:56</t>
        </is>
      </c>
      <c r="B20" s="2" t="inlineStr">
        <is>
          <t>« Oui, nous avons perdu le contrôle. » Le min</t>
        </is>
      </c>
      <c r="C20" s="4" t="inlineStr">
        <is>
          <t>ouvrir</t>
        </is>
      </c>
      <c r="D20" s="3" t="n">
        <v>244</v>
      </c>
      <c r="E20" s="3" t="n">
        <v>225</v>
      </c>
      <c r="F20" s="3" t="n">
        <v>4</v>
      </c>
      <c r="G20" s="3" t="n">
        <v>0</v>
      </c>
      <c r="H20" s="3" t="n">
        <v>0</v>
      </c>
      <c r="I20" s="3" t="n">
        <v>1</v>
      </c>
      <c r="J20" s="3" t="n">
        <v>5</v>
      </c>
      <c r="K20" s="5">
        <f>IFERROR((F20+G20+H20+I20)/IF(E20&gt;0,E20,D20),0)</f>
        <v/>
      </c>
      <c r="L20" s="6">
        <f>IFERROR(D20/E20,0)</f>
        <v/>
      </c>
    </row>
    <row r="21">
      <c r="A21" s="2" t="inlineStr">
        <is>
          <t>2026-10-24 18:14</t>
        </is>
      </c>
      <c r="B21" s="2" t="inlineStr">
        <is>
          <t xml:space="preserve">Cinq infos de la semaine, une même logique : </t>
        </is>
      </c>
      <c r="C21" s="4" t="inlineStr">
        <is>
          <t>ouvrir</t>
        </is>
      </c>
      <c r="D21" s="3" t="n">
        <v>134</v>
      </c>
      <c r="E21" s="3" t="n">
        <v>115</v>
      </c>
      <c r="F21" s="3" t="n">
        <v>0</v>
      </c>
      <c r="G21" s="3" t="n">
        <v>0</v>
      </c>
      <c r="H21" s="3" t="n">
        <v>0</v>
      </c>
      <c r="I21" s="3" t="n">
        <v>0</v>
      </c>
      <c r="J21" s="3" t="n">
        <v>0</v>
      </c>
      <c r="K21" s="5">
        <f>IFERROR((F21+G21+H21+I21)/IF(E21&gt;0,E21,D21),0)</f>
        <v/>
      </c>
      <c r="L21" s="6">
        <f>IFERROR(D21/E21,0)</f>
        <v/>
      </c>
    </row>
    <row r="22">
      <c r="A22" s="2" t="inlineStr">
        <is>
          <t>2026-10-25 13:58</t>
        </is>
      </c>
      <c r="B22" s="2" t="inlineStr">
        <is>
          <t xml:space="preserve">Des millions publics promis. 244 salariés de </t>
        </is>
      </c>
      <c r="C22" s="4" t="inlineStr">
        <is>
          <t>ouvrir</t>
        </is>
      </c>
      <c r="D22" s="3" t="n">
        <v>114</v>
      </c>
      <c r="E22" s="3" t="n">
        <v>102</v>
      </c>
      <c r="F22" s="3" t="n">
        <v>0</v>
      </c>
      <c r="G22" s="3" t="n">
        <v>0</v>
      </c>
      <c r="H22" s="3" t="n">
        <v>0</v>
      </c>
      <c r="I22" s="3" t="n">
        <v>0</v>
      </c>
      <c r="J22" s="3" t="n">
        <v>0</v>
      </c>
      <c r="K22" s="5">
        <f>IFERROR((F22+G22+H22+I22)/IF(E22&gt;0,E22,D22),0)</f>
        <v/>
      </c>
      <c r="L22" s="6">
        <f>IFERROR(D22/E22,0)</f>
        <v/>
      </c>
    </row>
    <row r="23">
      <c r="A23" s="2" t="inlineStr">
        <is>
          <t>2026-10-25 13:59</t>
        </is>
      </c>
      <c r="B23" s="2" t="inlineStr">
        <is>
          <t>Vendredi, Macron au concert de Céline Dion. S</t>
        </is>
      </c>
      <c r="C23" s="4" t="inlineStr">
        <is>
          <t>ouvrir</t>
        </is>
      </c>
      <c r="D23" s="3" t="n">
        <v>130</v>
      </c>
      <c r="E23" s="3" t="n">
        <v>110</v>
      </c>
      <c r="F23" s="3" t="n">
        <v>1</v>
      </c>
      <c r="G23" s="3" t="n">
        <v>0</v>
      </c>
      <c r="H23" s="3" t="n">
        <v>0</v>
      </c>
      <c r="I23" s="3" t="n">
        <v>0</v>
      </c>
      <c r="J23" s="3" t="n">
        <v>1</v>
      </c>
      <c r="K23" s="5">
        <f>IFERROR((F23+G23+H23+I23)/IF(E23&gt;0,E23,D23),0)</f>
        <v/>
      </c>
      <c r="L23" s="6">
        <f>IFERROR(D23/E23,0)</f>
        <v/>
      </c>
    </row>
    <row r="24">
      <c r="A24" s="2" t="inlineStr">
        <is>
          <t>2026-10-25 17:26</t>
        </is>
      </c>
      <c r="B24" s="2" t="inlineStr">
        <is>
          <t>2 513 gardes à vue et 67 incarcérations après</t>
        </is>
      </c>
      <c r="C24" s="4" t="inlineStr">
        <is>
          <t>ouvrir</t>
        </is>
      </c>
      <c r="D24" s="3" t="n">
        <v>118</v>
      </c>
      <c r="E24" s="3" t="n">
        <v>106</v>
      </c>
      <c r="F24" s="3" t="n">
        <v>0</v>
      </c>
      <c r="G24" s="3" t="n">
        <v>0</v>
      </c>
      <c r="H24" s="3" t="n">
        <v>0</v>
      </c>
      <c r="I24" s="3" t="n">
        <v>0</v>
      </c>
      <c r="J24" s="3" t="n">
        <v>0</v>
      </c>
      <c r="K24" s="5">
        <f>IFERROR((F24+G24+H24+I24)/IF(E24&gt;0,E24,D24),0)</f>
        <v/>
      </c>
      <c r="L24" s="6">
        <f>IFERROR(D24/E24,0)</f>
        <v/>
      </c>
    </row>
    <row r="25">
      <c r="A25" s="2" t="inlineStr">
        <is>
          <t>2026-10-27 07:08</t>
        </is>
      </c>
      <c r="B25" s="2" t="inlineStr">
        <is>
          <t xml:space="preserve">54 milliards d'efforts demandés aux Français </t>
        </is>
      </c>
      <c r="C25" s="4" t="inlineStr">
        <is>
          <t>ouvrir</t>
        </is>
      </c>
      <c r="D25" s="3" t="n">
        <v>107</v>
      </c>
      <c r="E25" s="3" t="n">
        <v>99</v>
      </c>
      <c r="F25" s="3" t="n">
        <v>0</v>
      </c>
      <c r="G25" s="3" t="n">
        <v>0</v>
      </c>
      <c r="H25" s="3" t="n">
        <v>0</v>
      </c>
      <c r="I25" s="3" t="n">
        <v>0</v>
      </c>
      <c r="J25" s="3" t="n">
        <v>0</v>
      </c>
      <c r="K25" s="5">
        <f>IFERROR((F25+G25+H25+I25)/IF(E25&gt;0,E25,D25),0)</f>
        <v/>
      </c>
      <c r="L25" s="6">
        <f>IFERROR(D25/E25,0)</f>
        <v/>
      </c>
    </row>
    <row r="26">
      <c r="A26" s="2" t="inlineStr">
        <is>
          <t>2026-10-29 07:55</t>
        </is>
      </c>
      <c r="B26" s="2" t="inlineStr">
        <is>
          <t xml:space="preserve">Macron demande aux branches de négocier : 52 </t>
        </is>
      </c>
      <c r="C26" s="4" t="inlineStr">
        <is>
          <t>ouvrir</t>
        </is>
      </c>
      <c r="D26" s="3" t="n">
        <v>112</v>
      </c>
      <c r="E26" s="3" t="n">
        <v>106</v>
      </c>
      <c r="F26" s="3" t="n">
        <v>0</v>
      </c>
      <c r="G26" s="3" t="n">
        <v>0</v>
      </c>
      <c r="H26" s="3" t="n">
        <v>0</v>
      </c>
      <c r="I26" s="3" t="n">
        <v>0</v>
      </c>
      <c r="J26" s="3" t="n">
        <v>0</v>
      </c>
      <c r="K26" s="5">
        <f>IFERROR((F26+G26+H26+I26)/IF(E26&gt;0,E26,D26),0)</f>
        <v/>
      </c>
      <c r="L26" s="6">
        <f>IFERROR(D26/E26,0)</f>
        <v/>
      </c>
    </row>
  </sheetData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  <hyperlink xmlns:r="http://schemas.openxmlformats.org/officeDocument/2006/relationships" ref="C5" r:id="rId4"/>
    <hyperlink xmlns:r="http://schemas.openxmlformats.org/officeDocument/2006/relationships" ref="C6" r:id="rId5"/>
    <hyperlink xmlns:r="http://schemas.openxmlformats.org/officeDocument/2006/relationships" ref="C7" r:id="rId6"/>
    <hyperlink xmlns:r="http://schemas.openxmlformats.org/officeDocument/2006/relationships" ref="C8" r:id="rId7"/>
    <hyperlink xmlns:r="http://schemas.openxmlformats.org/officeDocument/2006/relationships" ref="C9" r:id="rId8"/>
    <hyperlink xmlns:r="http://schemas.openxmlformats.org/officeDocument/2006/relationships" ref="C10" r:id="rId9"/>
    <hyperlink xmlns:r="http://schemas.openxmlformats.org/officeDocument/2006/relationships" ref="C11" r:id="rId10"/>
    <hyperlink xmlns:r="http://schemas.openxmlformats.org/officeDocument/2006/relationships" ref="C12" r:id="rId11"/>
    <hyperlink xmlns:r="http://schemas.openxmlformats.org/officeDocument/2006/relationships" ref="C13" r:id="rId12"/>
    <hyperlink xmlns:r="http://schemas.openxmlformats.org/officeDocument/2006/relationships" ref="C14" r:id="rId13"/>
    <hyperlink xmlns:r="http://schemas.openxmlformats.org/officeDocument/2006/relationships" ref="C15" r:id="rId14"/>
    <hyperlink xmlns:r="http://schemas.openxmlformats.org/officeDocument/2006/relationships" ref="C16" r:id="rId15"/>
    <hyperlink xmlns:r="http://schemas.openxmlformats.org/officeDocument/2006/relationships" ref="C17" r:id="rId16"/>
    <hyperlink xmlns:r="http://schemas.openxmlformats.org/officeDocument/2006/relationships" ref="C18" r:id="rId17"/>
    <hyperlink xmlns:r="http://schemas.openxmlformats.org/officeDocument/2006/relationships" ref="C19" r:id="rId18"/>
    <hyperlink xmlns:r="http://schemas.openxmlformats.org/officeDocument/2006/relationships" ref="C20" r:id="rId19"/>
    <hyperlink xmlns:r="http://schemas.openxmlformats.org/officeDocument/2006/relationships" ref="C21" r:id="rId20"/>
    <hyperlink xmlns:r="http://schemas.openxmlformats.org/officeDocument/2006/relationships" ref="C22" r:id="rId21"/>
    <hyperlink xmlns:r="http://schemas.openxmlformats.org/officeDocument/2006/relationships" ref="C23" r:id="rId22"/>
    <hyperlink xmlns:r="http://schemas.openxmlformats.org/officeDocument/2006/relationships" ref="C24" r:id="rId23"/>
    <hyperlink xmlns:r="http://schemas.openxmlformats.org/officeDocument/2006/relationships" ref="C25" r:id="rId24"/>
    <hyperlink xmlns:r="http://schemas.openxmlformats.org/officeDocument/2006/relationships" ref="C26" r:id="rId25"/>
  </hyperlinks>
  <pageMargins left="0.75" right="0.75" top="1" bottom="1" header="0.5" footer="0.5"/>
  <drawing xmlns:r="http://schemas.openxmlformats.org/officeDocument/2006/relationships" r:id="rId26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</cols>
  <sheetData>
    <row r="1" ht="32" customHeight="1">
      <c r="A1" s="1" t="inlineStr">
        <is>
          <t>Jour</t>
        </is>
      </c>
      <c r="B1" s="1" t="inlineStr">
        <is>
          <t>⚠️ Contenu effrayant… ou pas</t>
        </is>
      </c>
      <c r="C1" s="1" t="inlineStr">
        <is>
          <t>FLASH SPÉCIAL 🚨 550 000 ou 8</t>
        </is>
      </c>
      <c r="D1" s="1" t="inlineStr">
        <is>
          <t xml:space="preserve">POV : ta mamie t'écrit « ma </t>
        </is>
      </c>
      <c r="E1" s="1" t="inlineStr">
        <is>
          <t>👻 On ne parle que des casseu</t>
        </is>
      </c>
      <c r="F1" s="1" t="inlineStr">
        <is>
          <t xml:space="preserve">👑 Vendredi soir : Macron au </t>
        </is>
      </c>
      <c r="G1" s="1" t="inlineStr">
        <is>
          <t>😱 Ma réaction à ce qui t'att</t>
        </is>
      </c>
      <c r="H1" s="1" t="inlineStr">
        <is>
          <t>🧮 Quiz : ta manif dégénère e</t>
        </is>
      </c>
      <c r="I1" s="1" t="inlineStr">
        <is>
          <t>Et soudain, 718 stations san</t>
        </is>
      </c>
      <c r="J1" s="1" t="inlineStr">
        <is>
          <t>Les vitrines d'abord. Toi, a</t>
        </is>
      </c>
      <c r="K1" s="1" t="inlineStr">
        <is>
          <t>📩 « Jeudi 5 novembre, la Fra</t>
        </is>
      </c>
      <c r="L1" s="1" t="inlineStr">
        <is>
          <t>📖 Il était une fois des agri</t>
        </is>
      </c>
      <c r="M1" s="1" t="inlineStr">
        <is>
          <t>Couvre-feux, manifs « encadr</t>
        </is>
      </c>
      <c r="N1" s="1" t="inlineStr">
        <is>
          <t>Couvre-feu pour les ados, 5,</t>
        </is>
      </c>
      <c r="O1" s="1" t="inlineStr">
        <is>
          <t>Les syndicats de salariés au</t>
        </is>
      </c>
      <c r="P1" s="1" t="inlineStr">
        <is>
          <t>À toi de juger : taxer les p</t>
        </is>
      </c>
      <c r="Q1" s="1" t="inlineStr">
        <is>
          <t>Gel des pensions : oui ou no</t>
        </is>
      </c>
      <c r="R1" s="1" t="inlineStr">
        <is>
          <t>Couper les réseaux sociaux p</t>
        </is>
      </c>
      <c r="S1" s="1" t="inlineStr">
        <is>
          <t>À toi de juger : il faut une</t>
        </is>
      </c>
      <c r="T1" s="1" t="inlineStr">
        <is>
          <t>« Oui, nous avons perdu le c</t>
        </is>
      </c>
      <c r="U1" s="1" t="inlineStr">
        <is>
          <t>Cinq infos de la semaine, un</t>
        </is>
      </c>
      <c r="V1" s="1" t="inlineStr">
        <is>
          <t>Des millions publics promis.</t>
        </is>
      </c>
      <c r="W1" s="1" t="inlineStr">
        <is>
          <t xml:space="preserve">Vendredi, Macron au concert </t>
        </is>
      </c>
      <c r="X1" s="1" t="inlineStr">
        <is>
          <t>2 513 gardes à vue et 67 inc</t>
        </is>
      </c>
      <c r="Y1" s="1" t="inlineStr">
        <is>
          <t>54 milliards d'efforts deman</t>
        </is>
      </c>
      <c r="Z1" s="1" t="inlineStr">
        <is>
          <t xml:space="preserve">Macron demande aux branches </t>
        </is>
      </c>
    </row>
    <row r="2">
      <c r="A2" s="2" t="inlineStr">
        <is>
          <t>2026-10-18</t>
        </is>
      </c>
      <c r="B2" s="3" t="n">
        <v>325</v>
      </c>
      <c r="C2" s="3" t="n">
        <v>118</v>
      </c>
      <c r="D2" s="3" t="n">
        <v>116</v>
      </c>
      <c r="E2" s="3" t="n">
        <v>135</v>
      </c>
      <c r="F2" s="3" t="n">
        <v>174</v>
      </c>
      <c r="G2" s="3" t="n"/>
      <c r="H2" s="3" t="n"/>
      <c r="I2" s="3" t="n"/>
      <c r="J2" s="3" t="n"/>
      <c r="K2" s="3" t="n"/>
      <c r="L2" s="3" t="n"/>
      <c r="M2" s="3" t="n"/>
      <c r="N2" s="3" t="n"/>
      <c r="O2" s="3" t="n"/>
      <c r="P2" s="3" t="n"/>
      <c r="Q2" s="3" t="n"/>
      <c r="R2" s="3" t="n"/>
      <c r="S2" s="3" t="n"/>
      <c r="T2" s="3" t="n"/>
      <c r="U2" s="3" t="n"/>
      <c r="V2" s="3" t="n"/>
      <c r="W2" s="3" t="n"/>
      <c r="X2" s="3" t="n"/>
      <c r="Y2" s="3" t="n"/>
      <c r="Z2" s="3" t="n"/>
    </row>
    <row r="3">
      <c r="A3" s="2" t="inlineStr">
        <is>
          <t>2026-10-19</t>
        </is>
      </c>
      <c r="B3" s="3" t="n">
        <v>343</v>
      </c>
      <c r="C3" s="3" t="n">
        <v>132</v>
      </c>
      <c r="D3" s="3" t="n">
        <v>120</v>
      </c>
      <c r="E3" s="3" t="n">
        <v>190</v>
      </c>
      <c r="F3" s="3" t="n">
        <v>1125</v>
      </c>
      <c r="G3" s="3" t="n">
        <v>120</v>
      </c>
      <c r="H3" s="3" t="n">
        <v>105</v>
      </c>
      <c r="I3" s="3" t="n">
        <v>63</v>
      </c>
      <c r="J3" s="3" t="n">
        <v>113</v>
      </c>
      <c r="K3" s="3" t="n">
        <v>7</v>
      </c>
      <c r="L3" s="3" t="n"/>
      <c r="M3" s="3" t="n"/>
      <c r="N3" s="3" t="n"/>
      <c r="O3" s="3" t="n"/>
      <c r="P3" s="3" t="n"/>
      <c r="Q3" s="3" t="n"/>
      <c r="R3" s="3" t="n"/>
      <c r="S3" s="3" t="n"/>
      <c r="T3" s="3" t="n"/>
      <c r="U3" s="3" t="n"/>
      <c r="V3" s="3" t="n"/>
      <c r="W3" s="3" t="n"/>
      <c r="X3" s="3" t="n"/>
      <c r="Y3" s="3" t="n"/>
      <c r="Z3" s="3" t="n"/>
    </row>
    <row r="4">
      <c r="A4" s="2" t="inlineStr">
        <is>
          <t>2026-10-20</t>
        </is>
      </c>
      <c r="B4" s="3" t="n">
        <v>345</v>
      </c>
      <c r="C4" s="3" t="n">
        <v>133</v>
      </c>
      <c r="D4" s="3" t="n">
        <v>120</v>
      </c>
      <c r="E4" s="3" t="n">
        <v>191</v>
      </c>
      <c r="F4" s="3" t="n">
        <v>1155</v>
      </c>
      <c r="G4" s="3" t="n">
        <v>120</v>
      </c>
      <c r="H4" s="3" t="n">
        <v>110</v>
      </c>
      <c r="I4" s="3" t="n">
        <v>86</v>
      </c>
      <c r="J4" s="3" t="n">
        <v>113</v>
      </c>
      <c r="K4" s="3" t="n">
        <v>111</v>
      </c>
      <c r="L4" s="3" t="n">
        <v>73</v>
      </c>
      <c r="M4" s="3" t="n">
        <v>63</v>
      </c>
      <c r="N4" s="3" t="n"/>
      <c r="O4" s="3" t="n"/>
      <c r="P4" s="3" t="n"/>
      <c r="Q4" s="3" t="n"/>
      <c r="R4" s="3" t="n"/>
      <c r="S4" s="3" t="n"/>
      <c r="T4" s="3" t="n"/>
      <c r="U4" s="3" t="n"/>
      <c r="V4" s="3" t="n"/>
      <c r="W4" s="3" t="n"/>
      <c r="X4" s="3" t="n"/>
      <c r="Y4" s="3" t="n"/>
      <c r="Z4" s="3" t="n"/>
    </row>
    <row r="5">
      <c r="A5" s="2" t="inlineStr">
        <is>
          <t>2026-10-21</t>
        </is>
      </c>
      <c r="B5" s="3" t="n">
        <v>348</v>
      </c>
      <c r="C5" s="3" t="n">
        <v>133</v>
      </c>
      <c r="D5" s="3" t="n">
        <v>120</v>
      </c>
      <c r="E5" s="3" t="n">
        <v>191</v>
      </c>
      <c r="F5" s="3" t="n">
        <v>1155</v>
      </c>
      <c r="G5" s="3" t="n">
        <v>120</v>
      </c>
      <c r="H5" s="3" t="n">
        <v>110</v>
      </c>
      <c r="I5" s="3" t="n">
        <v>86</v>
      </c>
      <c r="J5" s="3" t="n">
        <v>113</v>
      </c>
      <c r="K5" s="3" t="n">
        <v>111</v>
      </c>
      <c r="L5" s="3" t="n">
        <v>79</v>
      </c>
      <c r="M5" s="3" t="n">
        <v>157</v>
      </c>
      <c r="N5" s="3" t="n">
        <v>105</v>
      </c>
      <c r="O5" s="3" t="n">
        <v>80</v>
      </c>
      <c r="P5" s="3" t="n">
        <v>69</v>
      </c>
      <c r="Q5" s="3" t="n"/>
      <c r="R5" s="3" t="n"/>
      <c r="S5" s="3" t="n"/>
      <c r="T5" s="3" t="n"/>
      <c r="U5" s="3" t="n"/>
      <c r="V5" s="3" t="n"/>
      <c r="W5" s="3" t="n"/>
      <c r="X5" s="3" t="n"/>
      <c r="Y5" s="3" t="n"/>
      <c r="Z5" s="3" t="n"/>
    </row>
    <row r="6">
      <c r="A6" s="2" t="inlineStr">
        <is>
          <t>2026-10-22</t>
        </is>
      </c>
      <c r="B6" s="3" t="n"/>
      <c r="C6" s="3" t="n"/>
      <c r="D6" s="3" t="n">
        <v>120</v>
      </c>
      <c r="E6" s="3" t="n">
        <v>191</v>
      </c>
      <c r="F6" s="3" t="n">
        <v>1155</v>
      </c>
      <c r="G6" s="3" t="n">
        <v>121</v>
      </c>
      <c r="H6" s="3" t="n">
        <v>110</v>
      </c>
      <c r="I6" s="3" t="n">
        <v>86</v>
      </c>
      <c r="J6" s="3" t="n">
        <v>113</v>
      </c>
      <c r="K6" s="3" t="n">
        <v>111</v>
      </c>
      <c r="L6" s="3" t="n">
        <v>79</v>
      </c>
      <c r="M6" s="3" t="n">
        <v>158</v>
      </c>
      <c r="N6" s="3" t="n">
        <v>106</v>
      </c>
      <c r="O6" s="3" t="n">
        <v>105</v>
      </c>
      <c r="P6" s="3" t="n">
        <v>128</v>
      </c>
      <c r="Q6" s="3" t="n">
        <v>113</v>
      </c>
      <c r="R6" s="3" t="n">
        <v>32</v>
      </c>
      <c r="S6" s="3" t="n"/>
      <c r="T6" s="3" t="n"/>
      <c r="U6" s="3" t="n"/>
      <c r="V6" s="3" t="n"/>
      <c r="W6" s="3" t="n"/>
      <c r="X6" s="3" t="n"/>
      <c r="Y6" s="3" t="n"/>
      <c r="Z6" s="3" t="n"/>
    </row>
    <row r="7">
      <c r="A7" s="2" t="inlineStr">
        <is>
          <t>2026-10-23</t>
        </is>
      </c>
      <c r="B7" s="3" t="n"/>
      <c r="C7" s="3" t="n"/>
      <c r="D7" s="3" t="n">
        <v>120</v>
      </c>
      <c r="E7" s="3" t="n">
        <v>191</v>
      </c>
      <c r="F7" s="3" t="n">
        <v>1155</v>
      </c>
      <c r="G7" s="3" t="n">
        <v>121</v>
      </c>
      <c r="H7" s="3" t="n">
        <v>110</v>
      </c>
      <c r="I7" s="3" t="n">
        <v>86</v>
      </c>
      <c r="J7" s="3" t="n">
        <v>113</v>
      </c>
      <c r="K7" s="3" t="n">
        <v>111</v>
      </c>
      <c r="L7" s="3" t="n">
        <v>79</v>
      </c>
      <c r="M7" s="3" t="n">
        <v>158</v>
      </c>
      <c r="N7" s="3" t="n">
        <v>106</v>
      </c>
      <c r="O7" s="3" t="n">
        <v>105</v>
      </c>
      <c r="P7" s="3" t="n">
        <v>128</v>
      </c>
      <c r="Q7" s="3" t="n">
        <v>113</v>
      </c>
      <c r="R7" s="3" t="n">
        <v>74</v>
      </c>
      <c r="S7" s="3" t="n"/>
      <c r="T7" s="3" t="n"/>
      <c r="U7" s="3" t="n"/>
      <c r="V7" s="3" t="n"/>
      <c r="W7" s="3" t="n"/>
      <c r="X7" s="3" t="n"/>
      <c r="Y7" s="3" t="n"/>
      <c r="Z7" s="3" t="n"/>
    </row>
    <row r="8">
      <c r="A8" s="2" t="inlineStr">
        <is>
          <t>2026-10-24</t>
        </is>
      </c>
      <c r="B8" s="3" t="n"/>
      <c r="C8" s="3" t="n"/>
      <c r="D8" s="3" t="n"/>
      <c r="E8" s="3" t="n"/>
      <c r="F8" s="3" t="n">
        <v>1155</v>
      </c>
      <c r="G8" s="3" t="n">
        <v>121</v>
      </c>
      <c r="H8" s="3" t="n">
        <v>110</v>
      </c>
      <c r="I8" s="3" t="n">
        <v>86</v>
      </c>
      <c r="J8" s="3" t="n">
        <v>113</v>
      </c>
      <c r="K8" s="3" t="n">
        <v>111</v>
      </c>
      <c r="L8" s="3" t="n">
        <v>79</v>
      </c>
      <c r="M8" s="3" t="n">
        <v>158</v>
      </c>
      <c r="N8" s="3" t="n">
        <v>108</v>
      </c>
      <c r="O8" s="3" t="n">
        <v>105</v>
      </c>
      <c r="P8" s="3" t="n">
        <v>128</v>
      </c>
      <c r="Q8" s="3" t="n">
        <v>114</v>
      </c>
      <c r="R8" s="3" t="n">
        <v>76</v>
      </c>
      <c r="S8" s="3" t="n">
        <v>119</v>
      </c>
      <c r="T8" s="3" t="n">
        <v>6</v>
      </c>
      <c r="U8" s="3" t="n"/>
      <c r="V8" s="3" t="n"/>
      <c r="W8" s="3" t="n"/>
      <c r="X8" s="3" t="n"/>
      <c r="Y8" s="3" t="n"/>
      <c r="Z8" s="3" t="n"/>
    </row>
    <row r="9">
      <c r="A9" s="2" t="inlineStr">
        <is>
          <t>2026-10-25</t>
        </is>
      </c>
      <c r="B9" s="3" t="n"/>
      <c r="C9" s="3" t="n"/>
      <c r="D9" s="3" t="n"/>
      <c r="E9" s="3" t="n"/>
      <c r="F9" s="3" t="n"/>
      <c r="G9" s="3" t="n"/>
      <c r="H9" s="3" t="n"/>
      <c r="I9" s="3" t="n">
        <v>86</v>
      </c>
      <c r="J9" s="3" t="n">
        <v>113</v>
      </c>
      <c r="K9" s="3" t="n">
        <v>111</v>
      </c>
      <c r="L9" s="3" t="n">
        <v>79</v>
      </c>
      <c r="M9" s="3" t="n">
        <v>158</v>
      </c>
      <c r="N9" s="3" t="n">
        <v>108</v>
      </c>
      <c r="O9" s="3" t="n">
        <v>105</v>
      </c>
      <c r="P9" s="3" t="n">
        <v>128</v>
      </c>
      <c r="Q9" s="3" t="n">
        <v>114</v>
      </c>
      <c r="R9" s="3" t="n">
        <v>76</v>
      </c>
      <c r="S9" s="3" t="n">
        <v>133</v>
      </c>
      <c r="T9" s="3" t="n">
        <v>241</v>
      </c>
      <c r="U9" s="3" t="n">
        <v>134</v>
      </c>
      <c r="V9" s="3" t="n">
        <v>10</v>
      </c>
      <c r="W9" s="3" t="n">
        <v>13</v>
      </c>
      <c r="X9" s="3" t="n"/>
      <c r="Y9" s="3" t="n"/>
      <c r="Z9" s="3" t="n"/>
    </row>
    <row r="10">
      <c r="A10" s="2" t="inlineStr">
        <is>
          <t>2026-10-26</t>
        </is>
      </c>
      <c r="B10" s="3" t="n"/>
      <c r="C10" s="3" t="n"/>
      <c r="D10" s="3" t="n"/>
      <c r="E10" s="3" t="n"/>
      <c r="F10" s="3" t="n"/>
      <c r="G10" s="3" t="n"/>
      <c r="H10" s="3" t="n"/>
      <c r="I10" s="3" t="n"/>
      <c r="J10" s="3" t="n">
        <v>113</v>
      </c>
      <c r="K10" s="3" t="n">
        <v>111</v>
      </c>
      <c r="L10" s="3" t="n">
        <v>79</v>
      </c>
      <c r="M10" s="3" t="n">
        <v>158</v>
      </c>
      <c r="N10" s="3" t="n">
        <v>108</v>
      </c>
      <c r="O10" s="3" t="n">
        <v>105</v>
      </c>
      <c r="P10" s="3" t="n">
        <v>128</v>
      </c>
      <c r="Q10" s="3" t="n">
        <v>114</v>
      </c>
      <c r="R10" s="3" t="n">
        <v>76</v>
      </c>
      <c r="S10" s="3" t="n">
        <v>133</v>
      </c>
      <c r="T10" s="3" t="n">
        <v>244</v>
      </c>
      <c r="U10" s="3" t="n">
        <v>134</v>
      </c>
      <c r="V10" s="3" t="n">
        <v>114</v>
      </c>
      <c r="W10" s="3" t="n">
        <v>130</v>
      </c>
      <c r="X10" s="3" t="n">
        <v>117</v>
      </c>
      <c r="Y10" s="3" t="n"/>
      <c r="Z10" s="3" t="n"/>
    </row>
    <row r="11">
      <c r="A11" s="2" t="inlineStr">
        <is>
          <t>2026-10-27</t>
        </is>
      </c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>
        <v>111</v>
      </c>
      <c r="L11" s="3" t="n">
        <v>79</v>
      </c>
      <c r="M11" s="3" t="n">
        <v>158</v>
      </c>
      <c r="N11" s="3" t="n">
        <v>108</v>
      </c>
      <c r="O11" s="3" t="n">
        <v>105</v>
      </c>
      <c r="P11" s="3" t="n">
        <v>128</v>
      </c>
      <c r="Q11" s="3" t="n">
        <v>114</v>
      </c>
      <c r="R11" s="3" t="n">
        <v>76</v>
      </c>
      <c r="S11" s="3" t="n">
        <v>133</v>
      </c>
      <c r="T11" s="3" t="n">
        <v>244</v>
      </c>
      <c r="U11" s="3" t="n">
        <v>134</v>
      </c>
      <c r="V11" s="3" t="n">
        <v>114</v>
      </c>
      <c r="W11" s="3" t="n">
        <v>130</v>
      </c>
      <c r="X11" s="3" t="n">
        <v>118</v>
      </c>
      <c r="Y11" s="3" t="n">
        <v>92</v>
      </c>
      <c r="Z11" s="3" t="n"/>
    </row>
    <row r="12">
      <c r="A12" s="2" t="inlineStr">
        <is>
          <t>2026-10-28</t>
        </is>
      </c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>
        <v>111</v>
      </c>
      <c r="L12" s="3" t="n">
        <v>79</v>
      </c>
      <c r="M12" s="3" t="n">
        <v>158</v>
      </c>
      <c r="N12" s="3" t="n">
        <v>108</v>
      </c>
      <c r="O12" s="3" t="n">
        <v>105</v>
      </c>
      <c r="P12" s="3" t="n">
        <v>128</v>
      </c>
      <c r="Q12" s="3" t="n">
        <v>114</v>
      </c>
      <c r="R12" s="3" t="n">
        <v>76</v>
      </c>
      <c r="S12" s="3" t="n">
        <v>133</v>
      </c>
      <c r="T12" s="3" t="n">
        <v>244</v>
      </c>
      <c r="U12" s="3" t="n">
        <v>134</v>
      </c>
      <c r="V12" s="3" t="n">
        <v>114</v>
      </c>
      <c r="W12" s="3" t="n">
        <v>130</v>
      </c>
      <c r="X12" s="3" t="n">
        <v>118</v>
      </c>
      <c r="Y12" s="3" t="n">
        <v>107</v>
      </c>
      <c r="Z12" s="3" t="n"/>
    </row>
    <row r="13">
      <c r="A13" s="2" t="inlineStr">
        <is>
          <t>2026-10-29</t>
        </is>
      </c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 t="n"/>
      <c r="L13" s="3" t="n">
        <v>79</v>
      </c>
      <c r="M13" s="3" t="n">
        <v>158</v>
      </c>
      <c r="N13" s="3" t="n">
        <v>108</v>
      </c>
      <c r="O13" s="3" t="n">
        <v>105</v>
      </c>
      <c r="P13" s="3" t="n">
        <v>128</v>
      </c>
      <c r="Q13" s="3" t="n">
        <v>114</v>
      </c>
      <c r="R13" s="3" t="n">
        <v>76</v>
      </c>
      <c r="S13" s="3" t="n">
        <v>133</v>
      </c>
      <c r="T13" s="3" t="n">
        <v>244</v>
      </c>
      <c r="U13" s="3" t="n">
        <v>134</v>
      </c>
      <c r="V13" s="3" t="n">
        <v>114</v>
      </c>
      <c r="W13" s="3" t="n">
        <v>130</v>
      </c>
      <c r="X13" s="3" t="n">
        <v>118</v>
      </c>
      <c r="Y13" s="3" t="n">
        <v>107</v>
      </c>
      <c r="Z13" s="3" t="n">
        <v>112</v>
      </c>
    </row>
    <row r="14">
      <c r="A14" s="2" t="inlineStr">
        <is>
          <t>2026-10-30</t>
        </is>
      </c>
      <c r="B14" s="3" t="n">
        <v>348</v>
      </c>
      <c r="C14" s="3" t="n">
        <v>133</v>
      </c>
      <c r="D14" s="3" t="n">
        <v>120</v>
      </c>
      <c r="E14" s="3" t="n">
        <v>191</v>
      </c>
      <c r="F14" s="3" t="n">
        <v>1156</v>
      </c>
      <c r="G14" s="3" t="n">
        <v>121</v>
      </c>
      <c r="H14" s="3" t="n">
        <v>110</v>
      </c>
      <c r="I14" s="3" t="n">
        <v>86</v>
      </c>
      <c r="J14" s="3" t="n">
        <v>113</v>
      </c>
      <c r="K14" s="3" t="n">
        <v>111</v>
      </c>
      <c r="L14" s="3" t="n">
        <v>79</v>
      </c>
      <c r="M14" s="3" t="n">
        <v>158</v>
      </c>
      <c r="N14" s="3" t="n">
        <v>108</v>
      </c>
      <c r="O14" s="3" t="n">
        <v>105</v>
      </c>
      <c r="P14" s="3" t="n">
        <v>128</v>
      </c>
      <c r="Q14" s="3" t="n">
        <v>114</v>
      </c>
      <c r="R14" s="3" t="n">
        <v>76</v>
      </c>
      <c r="S14" s="3" t="n">
        <v>133</v>
      </c>
      <c r="T14" s="3" t="n">
        <v>244</v>
      </c>
      <c r="U14" s="3" t="n">
        <v>134</v>
      </c>
      <c r="V14" s="3" t="n">
        <v>114</v>
      </c>
      <c r="W14" s="3" t="n">
        <v>130</v>
      </c>
      <c r="X14" s="3" t="n">
        <v>118</v>
      </c>
      <c r="Y14" s="3" t="n">
        <v>107</v>
      </c>
      <c r="Z14" s="3" t="n">
        <v>112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A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2" customWidth="1" min="27" max="27"/>
  </cols>
  <sheetData>
    <row r="1" ht="32" customHeight="1">
      <c r="A1" s="1" t="inlineStr">
        <is>
          <t>Jour</t>
        </is>
      </c>
      <c r="B1" s="1" t="inlineStr">
        <is>
          <t>⚠️ Contenu effrayant… ou pas</t>
        </is>
      </c>
      <c r="C1" s="1" t="inlineStr">
        <is>
          <t>FLASH SPÉCIAL 🚨 550 000 ou 8</t>
        </is>
      </c>
      <c r="D1" s="1" t="inlineStr">
        <is>
          <t xml:space="preserve">POV : ta mamie t'écrit « ma </t>
        </is>
      </c>
      <c r="E1" s="1" t="inlineStr">
        <is>
          <t>👻 On ne parle que des casseu</t>
        </is>
      </c>
      <c r="F1" s="1" t="inlineStr">
        <is>
          <t xml:space="preserve">👑 Vendredi soir : Macron au </t>
        </is>
      </c>
      <c r="G1" s="1" t="inlineStr">
        <is>
          <t>😱 Ma réaction à ce qui t'att</t>
        </is>
      </c>
      <c r="H1" s="1" t="inlineStr">
        <is>
          <t>🧮 Quiz : ta manif dégénère e</t>
        </is>
      </c>
      <c r="I1" s="1" t="inlineStr">
        <is>
          <t>Et soudain, 718 stations san</t>
        </is>
      </c>
      <c r="J1" s="1" t="inlineStr">
        <is>
          <t>Les vitrines d'abord. Toi, a</t>
        </is>
      </c>
      <c r="K1" s="1" t="inlineStr">
        <is>
          <t>📩 « Jeudi 5 novembre, la Fra</t>
        </is>
      </c>
      <c r="L1" s="1" t="inlineStr">
        <is>
          <t>📖 Il était une fois des agri</t>
        </is>
      </c>
      <c r="M1" s="1" t="inlineStr">
        <is>
          <t>Couvre-feux, manifs « encadr</t>
        </is>
      </c>
      <c r="N1" s="1" t="inlineStr">
        <is>
          <t>Couvre-feu pour les ados, 5,</t>
        </is>
      </c>
      <c r="O1" s="1" t="inlineStr">
        <is>
          <t>Les syndicats de salariés au</t>
        </is>
      </c>
      <c r="P1" s="1" t="inlineStr">
        <is>
          <t>À toi de juger : taxer les p</t>
        </is>
      </c>
      <c r="Q1" s="1" t="inlineStr">
        <is>
          <t>Gel des pensions : oui ou no</t>
        </is>
      </c>
      <c r="R1" s="1" t="inlineStr">
        <is>
          <t>Couper les réseaux sociaux p</t>
        </is>
      </c>
      <c r="S1" s="1" t="inlineStr">
        <is>
          <t>À toi de juger : il faut une</t>
        </is>
      </c>
      <c r="T1" s="1" t="inlineStr">
        <is>
          <t>« Oui, nous avons perdu le c</t>
        </is>
      </c>
      <c r="U1" s="1" t="inlineStr">
        <is>
          <t>Cinq infos de la semaine, un</t>
        </is>
      </c>
      <c r="V1" s="1" t="inlineStr">
        <is>
          <t>Des millions publics promis.</t>
        </is>
      </c>
      <c r="W1" s="1" t="inlineStr">
        <is>
          <t xml:space="preserve">Vendredi, Macron au concert </t>
        </is>
      </c>
      <c r="X1" s="1" t="inlineStr">
        <is>
          <t>2 513 gardes à vue et 67 inc</t>
        </is>
      </c>
      <c r="Y1" s="1" t="inlineStr">
        <is>
          <t>54 milliards d'efforts deman</t>
        </is>
      </c>
      <c r="Z1" s="1" t="inlineStr">
        <is>
          <t xml:space="preserve">Macron demande aux branches </t>
        </is>
      </c>
      <c r="AA1" s="1" t="inlineStr">
        <is>
          <t>Total du jour</t>
        </is>
      </c>
    </row>
    <row r="2">
      <c r="A2" s="2" t="inlineStr">
        <is>
          <t>2026-10-18</t>
        </is>
      </c>
      <c r="B2" s="3">
        <f>IF('Évolution par vidéo'!B2="","",'Évolution par vidéo'!B2)</f>
        <v/>
      </c>
      <c r="C2" s="3">
        <f>IF('Évolution par vidéo'!C2="","",'Évolution par vidéo'!C2)</f>
        <v/>
      </c>
      <c r="D2" s="3">
        <f>IF('Évolution par vidéo'!D2="","",'Évolution par vidéo'!D2)</f>
        <v/>
      </c>
      <c r="E2" s="3">
        <f>IF('Évolution par vidéo'!E2="","",'Évolution par vidéo'!E2)</f>
        <v/>
      </c>
      <c r="F2" s="3">
        <f>IF('Évolution par vidéo'!F2="","",'Évolution par vidéo'!F2)</f>
        <v/>
      </c>
      <c r="G2" s="3">
        <f>IF('Évolution par vidéo'!G2="","",'Évolution par vidéo'!G2)</f>
        <v/>
      </c>
      <c r="H2" s="3">
        <f>IF('Évolution par vidéo'!H2="","",'Évolution par vidéo'!H2)</f>
        <v/>
      </c>
      <c r="I2" s="3">
        <f>IF('Évolution par vidéo'!I2="","",'Évolution par vidéo'!I2)</f>
        <v/>
      </c>
      <c r="J2" s="3">
        <f>IF('Évolution par vidéo'!J2="","",'Évolution par vidéo'!J2)</f>
        <v/>
      </c>
      <c r="K2" s="3">
        <f>IF('Évolution par vidéo'!K2="","",'Évolution par vidéo'!K2)</f>
        <v/>
      </c>
      <c r="L2" s="3">
        <f>IF('Évolution par vidéo'!L2="","",'Évolution par vidéo'!L2)</f>
        <v/>
      </c>
      <c r="M2" s="3">
        <f>IF('Évolution par vidéo'!M2="","",'Évolution par vidéo'!M2)</f>
        <v/>
      </c>
      <c r="N2" s="3">
        <f>IF('Évolution par vidéo'!N2="","",'Évolution par vidéo'!N2)</f>
        <v/>
      </c>
      <c r="O2" s="3">
        <f>IF('Évolution par vidéo'!O2="","",'Évolution par vidéo'!O2)</f>
        <v/>
      </c>
      <c r="P2" s="3">
        <f>IF('Évolution par vidéo'!P2="","",'Évolution par vidéo'!P2)</f>
        <v/>
      </c>
      <c r="Q2" s="3">
        <f>IF('Évolution par vidéo'!Q2="","",'Évolution par vidéo'!Q2)</f>
        <v/>
      </c>
      <c r="R2" s="3">
        <f>IF('Évolution par vidéo'!R2="","",'Évolution par vidéo'!R2)</f>
        <v/>
      </c>
      <c r="S2" s="3">
        <f>IF('Évolution par vidéo'!S2="","",'Évolution par vidéo'!S2)</f>
        <v/>
      </c>
      <c r="T2" s="3">
        <f>IF('Évolution par vidéo'!T2="","",'Évolution par vidéo'!T2)</f>
        <v/>
      </c>
      <c r="U2" s="3">
        <f>IF('Évolution par vidéo'!U2="","",'Évolution par vidéo'!U2)</f>
        <v/>
      </c>
      <c r="V2" s="3">
        <f>IF('Évolution par vidéo'!V2="","",'Évolution par vidéo'!V2)</f>
        <v/>
      </c>
      <c r="W2" s="3">
        <f>IF('Évolution par vidéo'!W2="","",'Évolution par vidéo'!W2)</f>
        <v/>
      </c>
      <c r="X2" s="3">
        <f>IF('Évolution par vidéo'!X2="","",'Évolution par vidéo'!X2)</f>
        <v/>
      </c>
      <c r="Y2" s="3">
        <f>IF('Évolution par vidéo'!Y2="","",'Évolution par vidéo'!Y2)</f>
        <v/>
      </c>
      <c r="Z2" s="3">
        <f>IF('Évolution par vidéo'!Z2="","",'Évolution par vidéo'!Z2)</f>
        <v/>
      </c>
      <c r="AA2" s="3">
        <f>SUM(B2:Z2)</f>
        <v/>
      </c>
    </row>
    <row r="3">
      <c r="A3" s="2" t="inlineStr">
        <is>
          <t>2026-10-19</t>
        </is>
      </c>
      <c r="B3" s="3">
        <f>IF('Évolution par vidéo'!B3="","",'Évolution par vidéo'!B3-N('Évolution par vidéo'!B2))</f>
        <v/>
      </c>
      <c r="C3" s="3">
        <f>IF('Évolution par vidéo'!C3="","",'Évolution par vidéo'!C3-N('Évolution par vidéo'!C2))</f>
        <v/>
      </c>
      <c r="D3" s="3">
        <f>IF('Évolution par vidéo'!D3="","",'Évolution par vidéo'!D3-N('Évolution par vidéo'!D2))</f>
        <v/>
      </c>
      <c r="E3" s="3">
        <f>IF('Évolution par vidéo'!E3="","",'Évolution par vidéo'!E3-N('Évolution par vidéo'!E2))</f>
        <v/>
      </c>
      <c r="F3" s="3">
        <f>IF('Évolution par vidéo'!F3="","",'Évolution par vidéo'!F3-N('Évolution par vidéo'!F2))</f>
        <v/>
      </c>
      <c r="G3" s="3">
        <f>IF('Évolution par vidéo'!G3="","",'Évolution par vidéo'!G3-N('Évolution par vidéo'!G2))</f>
        <v/>
      </c>
      <c r="H3" s="3">
        <f>IF('Évolution par vidéo'!H3="","",'Évolution par vidéo'!H3-N('Évolution par vidéo'!H2))</f>
        <v/>
      </c>
      <c r="I3" s="3">
        <f>IF('Évolution par vidéo'!I3="","",'Évolution par vidéo'!I3-N('Évolution par vidéo'!I2))</f>
        <v/>
      </c>
      <c r="J3" s="3">
        <f>IF('Évolution par vidéo'!J3="","",'Évolution par vidéo'!J3-N('Évolution par vidéo'!J2))</f>
        <v/>
      </c>
      <c r="K3" s="3">
        <f>IF('Évolution par vidéo'!K3="","",'Évolution par vidéo'!K3-N('Évolution par vidéo'!K2))</f>
        <v/>
      </c>
      <c r="L3" s="3">
        <f>IF('Évolution par vidéo'!L3="","",'Évolution par vidéo'!L3-N('Évolution par vidéo'!L2))</f>
        <v/>
      </c>
      <c r="M3" s="3">
        <f>IF('Évolution par vidéo'!M3="","",'Évolution par vidéo'!M3-N('Évolution par vidéo'!M2))</f>
        <v/>
      </c>
      <c r="N3" s="3">
        <f>IF('Évolution par vidéo'!N3="","",'Évolution par vidéo'!N3-N('Évolution par vidéo'!N2))</f>
        <v/>
      </c>
      <c r="O3" s="3">
        <f>IF('Évolution par vidéo'!O3="","",'Évolution par vidéo'!O3-N('Évolution par vidéo'!O2))</f>
        <v/>
      </c>
      <c r="P3" s="3">
        <f>IF('Évolution par vidéo'!P3="","",'Évolution par vidéo'!P3-N('Évolution par vidéo'!P2))</f>
        <v/>
      </c>
      <c r="Q3" s="3">
        <f>IF('Évolution par vidéo'!Q3="","",'Évolution par vidéo'!Q3-N('Évolution par vidéo'!Q2))</f>
        <v/>
      </c>
      <c r="R3" s="3">
        <f>IF('Évolution par vidéo'!R3="","",'Évolution par vidéo'!R3-N('Évolution par vidéo'!R2))</f>
        <v/>
      </c>
      <c r="S3" s="3">
        <f>IF('Évolution par vidéo'!S3="","",'Évolution par vidéo'!S3-N('Évolution par vidéo'!S2))</f>
        <v/>
      </c>
      <c r="T3" s="3">
        <f>IF('Évolution par vidéo'!T3="","",'Évolution par vidéo'!T3-N('Évolution par vidéo'!T2))</f>
        <v/>
      </c>
      <c r="U3" s="3">
        <f>IF('Évolution par vidéo'!U3="","",'Évolution par vidéo'!U3-N('Évolution par vidéo'!U2))</f>
        <v/>
      </c>
      <c r="V3" s="3">
        <f>IF('Évolution par vidéo'!V3="","",'Évolution par vidéo'!V3-N('Évolution par vidéo'!V2))</f>
        <v/>
      </c>
      <c r="W3" s="3">
        <f>IF('Évolution par vidéo'!W3="","",'Évolution par vidéo'!W3-N('Évolution par vidéo'!W2))</f>
        <v/>
      </c>
      <c r="X3" s="3">
        <f>IF('Évolution par vidéo'!X3="","",'Évolution par vidéo'!X3-N('Évolution par vidéo'!X2))</f>
        <v/>
      </c>
      <c r="Y3" s="3">
        <f>IF('Évolution par vidéo'!Y3="","",'Évolution par vidéo'!Y3-N('Évolution par vidéo'!Y2))</f>
        <v/>
      </c>
      <c r="Z3" s="3">
        <f>IF('Évolution par vidéo'!Z3="","",'Évolution par vidéo'!Z3-N('Évolution par vidéo'!Z2))</f>
        <v/>
      </c>
      <c r="AA3" s="3">
        <f>SUM(B3:Z3)</f>
        <v/>
      </c>
    </row>
    <row r="4">
      <c r="A4" s="2" t="inlineStr">
        <is>
          <t>2026-10-20</t>
        </is>
      </c>
      <c r="B4" s="3">
        <f>IF('Évolution par vidéo'!B4="","",'Évolution par vidéo'!B4-N('Évolution par vidéo'!B3))</f>
        <v/>
      </c>
      <c r="C4" s="3">
        <f>IF('Évolution par vidéo'!C4="","",'Évolution par vidéo'!C4-N('Évolution par vidéo'!C3))</f>
        <v/>
      </c>
      <c r="D4" s="3">
        <f>IF('Évolution par vidéo'!D4="","",'Évolution par vidéo'!D4-N('Évolution par vidéo'!D3))</f>
        <v/>
      </c>
      <c r="E4" s="3">
        <f>IF('Évolution par vidéo'!E4="","",'Évolution par vidéo'!E4-N('Évolution par vidéo'!E3))</f>
        <v/>
      </c>
      <c r="F4" s="3">
        <f>IF('Évolution par vidéo'!F4="","",'Évolution par vidéo'!F4-N('Évolution par vidéo'!F3))</f>
        <v/>
      </c>
      <c r="G4" s="3">
        <f>IF('Évolution par vidéo'!G4="","",'Évolution par vidéo'!G4-N('Évolution par vidéo'!G3))</f>
        <v/>
      </c>
      <c r="H4" s="3">
        <f>IF('Évolution par vidéo'!H4="","",'Évolution par vidéo'!H4-N('Évolution par vidéo'!H3))</f>
        <v/>
      </c>
      <c r="I4" s="3">
        <f>IF('Évolution par vidéo'!I4="","",'Évolution par vidéo'!I4-N('Évolution par vidéo'!I3))</f>
        <v/>
      </c>
      <c r="J4" s="3">
        <f>IF('Évolution par vidéo'!J4="","",'Évolution par vidéo'!J4-N('Évolution par vidéo'!J3))</f>
        <v/>
      </c>
      <c r="K4" s="3">
        <f>IF('Évolution par vidéo'!K4="","",'Évolution par vidéo'!K4-N('Évolution par vidéo'!K3))</f>
        <v/>
      </c>
      <c r="L4" s="3">
        <f>IF('Évolution par vidéo'!L4="","",'Évolution par vidéo'!L4-N('Évolution par vidéo'!L3))</f>
        <v/>
      </c>
      <c r="M4" s="3">
        <f>IF('Évolution par vidéo'!M4="","",'Évolution par vidéo'!M4-N('Évolution par vidéo'!M3))</f>
        <v/>
      </c>
      <c r="N4" s="3">
        <f>IF('Évolution par vidéo'!N4="","",'Évolution par vidéo'!N4-N('Évolution par vidéo'!N3))</f>
        <v/>
      </c>
      <c r="O4" s="3">
        <f>IF('Évolution par vidéo'!O4="","",'Évolution par vidéo'!O4-N('Évolution par vidéo'!O3))</f>
        <v/>
      </c>
      <c r="P4" s="3">
        <f>IF('Évolution par vidéo'!P4="","",'Évolution par vidéo'!P4-N('Évolution par vidéo'!P3))</f>
        <v/>
      </c>
      <c r="Q4" s="3">
        <f>IF('Évolution par vidéo'!Q4="","",'Évolution par vidéo'!Q4-N('Évolution par vidéo'!Q3))</f>
        <v/>
      </c>
      <c r="R4" s="3">
        <f>IF('Évolution par vidéo'!R4="","",'Évolution par vidéo'!R4-N('Évolution par vidéo'!R3))</f>
        <v/>
      </c>
      <c r="S4" s="3">
        <f>IF('Évolution par vidéo'!S4="","",'Évolution par vidéo'!S4-N('Évolution par vidéo'!S3))</f>
        <v/>
      </c>
      <c r="T4" s="3">
        <f>IF('Évolution par vidéo'!T4="","",'Évolution par vidéo'!T4-N('Évolution par vidéo'!T3))</f>
        <v/>
      </c>
      <c r="U4" s="3">
        <f>IF('Évolution par vidéo'!U4="","",'Évolution par vidéo'!U4-N('Évolution par vidéo'!U3))</f>
        <v/>
      </c>
      <c r="V4" s="3">
        <f>IF('Évolution par vidéo'!V4="","",'Évolution par vidéo'!V4-N('Évolution par vidéo'!V3))</f>
        <v/>
      </c>
      <c r="W4" s="3">
        <f>IF('Évolution par vidéo'!W4="","",'Évolution par vidéo'!W4-N('Évolution par vidéo'!W3))</f>
        <v/>
      </c>
      <c r="X4" s="3">
        <f>IF('Évolution par vidéo'!X4="","",'Évolution par vidéo'!X4-N('Évolution par vidéo'!X3))</f>
        <v/>
      </c>
      <c r="Y4" s="3">
        <f>IF('Évolution par vidéo'!Y4="","",'Évolution par vidéo'!Y4-N('Évolution par vidéo'!Y3))</f>
        <v/>
      </c>
      <c r="Z4" s="3">
        <f>IF('Évolution par vidéo'!Z4="","",'Évolution par vidéo'!Z4-N('Évolution par vidéo'!Z3))</f>
        <v/>
      </c>
      <c r="AA4" s="3">
        <f>SUM(B4:Z4)</f>
        <v/>
      </c>
    </row>
    <row r="5">
      <c r="A5" s="2" t="inlineStr">
        <is>
          <t>2026-10-21</t>
        </is>
      </c>
      <c r="B5" s="3">
        <f>IF('Évolution par vidéo'!B5="","",'Évolution par vidéo'!B5-N('Évolution par vidéo'!B4))</f>
        <v/>
      </c>
      <c r="C5" s="3">
        <f>IF('Évolution par vidéo'!C5="","",'Évolution par vidéo'!C5-N('Évolution par vidéo'!C4))</f>
        <v/>
      </c>
      <c r="D5" s="3">
        <f>IF('Évolution par vidéo'!D5="","",'Évolution par vidéo'!D5-N('Évolution par vidéo'!D4))</f>
        <v/>
      </c>
      <c r="E5" s="3">
        <f>IF('Évolution par vidéo'!E5="","",'Évolution par vidéo'!E5-N('Évolution par vidéo'!E4))</f>
        <v/>
      </c>
      <c r="F5" s="3">
        <f>IF('Évolution par vidéo'!F5="","",'Évolution par vidéo'!F5-N('Évolution par vidéo'!F4))</f>
        <v/>
      </c>
      <c r="G5" s="3">
        <f>IF('Évolution par vidéo'!G5="","",'Évolution par vidéo'!G5-N('Évolution par vidéo'!G4))</f>
        <v/>
      </c>
      <c r="H5" s="3">
        <f>IF('Évolution par vidéo'!H5="","",'Évolution par vidéo'!H5-N('Évolution par vidéo'!H4))</f>
        <v/>
      </c>
      <c r="I5" s="3">
        <f>IF('Évolution par vidéo'!I5="","",'Évolution par vidéo'!I5-N('Évolution par vidéo'!I4))</f>
        <v/>
      </c>
      <c r="J5" s="3">
        <f>IF('Évolution par vidéo'!J5="","",'Évolution par vidéo'!J5-N('Évolution par vidéo'!J4))</f>
        <v/>
      </c>
      <c r="K5" s="3">
        <f>IF('Évolution par vidéo'!K5="","",'Évolution par vidéo'!K5-N('Évolution par vidéo'!K4))</f>
        <v/>
      </c>
      <c r="L5" s="3">
        <f>IF('Évolution par vidéo'!L5="","",'Évolution par vidéo'!L5-N('Évolution par vidéo'!L4))</f>
        <v/>
      </c>
      <c r="M5" s="3">
        <f>IF('Évolution par vidéo'!M5="","",'Évolution par vidéo'!M5-N('Évolution par vidéo'!M4))</f>
        <v/>
      </c>
      <c r="N5" s="3">
        <f>IF('Évolution par vidéo'!N5="","",'Évolution par vidéo'!N5-N('Évolution par vidéo'!N4))</f>
        <v/>
      </c>
      <c r="O5" s="3">
        <f>IF('Évolution par vidéo'!O5="","",'Évolution par vidéo'!O5-N('Évolution par vidéo'!O4))</f>
        <v/>
      </c>
      <c r="P5" s="3">
        <f>IF('Évolution par vidéo'!P5="","",'Évolution par vidéo'!P5-N('Évolution par vidéo'!P4))</f>
        <v/>
      </c>
      <c r="Q5" s="3">
        <f>IF('Évolution par vidéo'!Q5="","",'Évolution par vidéo'!Q5-N('Évolution par vidéo'!Q4))</f>
        <v/>
      </c>
      <c r="R5" s="3">
        <f>IF('Évolution par vidéo'!R5="","",'Évolution par vidéo'!R5-N('Évolution par vidéo'!R4))</f>
        <v/>
      </c>
      <c r="S5" s="3">
        <f>IF('Évolution par vidéo'!S5="","",'Évolution par vidéo'!S5-N('Évolution par vidéo'!S4))</f>
        <v/>
      </c>
      <c r="T5" s="3">
        <f>IF('Évolution par vidéo'!T5="","",'Évolution par vidéo'!T5-N('Évolution par vidéo'!T4))</f>
        <v/>
      </c>
      <c r="U5" s="3">
        <f>IF('Évolution par vidéo'!U5="","",'Évolution par vidéo'!U5-N('Évolution par vidéo'!U4))</f>
        <v/>
      </c>
      <c r="V5" s="3">
        <f>IF('Évolution par vidéo'!V5="","",'Évolution par vidéo'!V5-N('Évolution par vidéo'!V4))</f>
        <v/>
      </c>
      <c r="W5" s="3">
        <f>IF('Évolution par vidéo'!W5="","",'Évolution par vidéo'!W5-N('Évolution par vidéo'!W4))</f>
        <v/>
      </c>
      <c r="X5" s="3">
        <f>IF('Évolution par vidéo'!X5="","",'Évolution par vidéo'!X5-N('Évolution par vidéo'!X4))</f>
        <v/>
      </c>
      <c r="Y5" s="3">
        <f>IF('Évolution par vidéo'!Y5="","",'Évolution par vidéo'!Y5-N('Évolution par vidéo'!Y4))</f>
        <v/>
      </c>
      <c r="Z5" s="3">
        <f>IF('Évolution par vidéo'!Z5="","",'Évolution par vidéo'!Z5-N('Évolution par vidéo'!Z4))</f>
        <v/>
      </c>
      <c r="AA5" s="3">
        <f>SUM(B5:Z5)</f>
        <v/>
      </c>
    </row>
    <row r="6">
      <c r="A6" s="2" t="inlineStr">
        <is>
          <t>2026-10-22</t>
        </is>
      </c>
      <c r="B6" s="3">
        <f>IF('Évolution par vidéo'!B6="","",'Évolution par vidéo'!B6-N('Évolution par vidéo'!B5))</f>
        <v/>
      </c>
      <c r="C6" s="3">
        <f>IF('Évolution par vidéo'!C6="","",'Évolution par vidéo'!C6-N('Évolution par vidéo'!C5))</f>
        <v/>
      </c>
      <c r="D6" s="3">
        <f>IF('Évolution par vidéo'!D6="","",'Évolution par vidéo'!D6-N('Évolution par vidéo'!D5))</f>
        <v/>
      </c>
      <c r="E6" s="3">
        <f>IF('Évolution par vidéo'!E6="","",'Évolution par vidéo'!E6-N('Évolution par vidéo'!E5))</f>
        <v/>
      </c>
      <c r="F6" s="3">
        <f>IF('Évolution par vidéo'!F6="","",'Évolution par vidéo'!F6-N('Évolution par vidéo'!F5))</f>
        <v/>
      </c>
      <c r="G6" s="3">
        <f>IF('Évolution par vidéo'!G6="","",'Évolution par vidéo'!G6-N('Évolution par vidéo'!G5))</f>
        <v/>
      </c>
      <c r="H6" s="3">
        <f>IF('Évolution par vidéo'!H6="","",'Évolution par vidéo'!H6-N('Évolution par vidéo'!H5))</f>
        <v/>
      </c>
      <c r="I6" s="3">
        <f>IF('Évolution par vidéo'!I6="","",'Évolution par vidéo'!I6-N('Évolution par vidéo'!I5))</f>
        <v/>
      </c>
      <c r="J6" s="3">
        <f>IF('Évolution par vidéo'!J6="","",'Évolution par vidéo'!J6-N('Évolution par vidéo'!J5))</f>
        <v/>
      </c>
      <c r="K6" s="3">
        <f>IF('Évolution par vidéo'!K6="","",'Évolution par vidéo'!K6-N('Évolution par vidéo'!K5))</f>
        <v/>
      </c>
      <c r="L6" s="3">
        <f>IF('Évolution par vidéo'!L6="","",'Évolution par vidéo'!L6-N('Évolution par vidéo'!L5))</f>
        <v/>
      </c>
      <c r="M6" s="3">
        <f>IF('Évolution par vidéo'!M6="","",'Évolution par vidéo'!M6-N('Évolution par vidéo'!M5))</f>
        <v/>
      </c>
      <c r="N6" s="3">
        <f>IF('Évolution par vidéo'!N6="","",'Évolution par vidéo'!N6-N('Évolution par vidéo'!N5))</f>
        <v/>
      </c>
      <c r="O6" s="3">
        <f>IF('Évolution par vidéo'!O6="","",'Évolution par vidéo'!O6-N('Évolution par vidéo'!O5))</f>
        <v/>
      </c>
      <c r="P6" s="3">
        <f>IF('Évolution par vidéo'!P6="","",'Évolution par vidéo'!P6-N('Évolution par vidéo'!P5))</f>
        <v/>
      </c>
      <c r="Q6" s="3">
        <f>IF('Évolution par vidéo'!Q6="","",'Évolution par vidéo'!Q6-N('Évolution par vidéo'!Q5))</f>
        <v/>
      </c>
      <c r="R6" s="3">
        <f>IF('Évolution par vidéo'!R6="","",'Évolution par vidéo'!R6-N('Évolution par vidéo'!R5))</f>
        <v/>
      </c>
      <c r="S6" s="3">
        <f>IF('Évolution par vidéo'!S6="","",'Évolution par vidéo'!S6-N('Évolution par vidéo'!S5))</f>
        <v/>
      </c>
      <c r="T6" s="3">
        <f>IF('Évolution par vidéo'!T6="","",'Évolution par vidéo'!T6-N('Évolution par vidéo'!T5))</f>
        <v/>
      </c>
      <c r="U6" s="3">
        <f>IF('Évolution par vidéo'!U6="","",'Évolution par vidéo'!U6-N('Évolution par vidéo'!U5))</f>
        <v/>
      </c>
      <c r="V6" s="3">
        <f>IF('Évolution par vidéo'!V6="","",'Évolution par vidéo'!V6-N('Évolution par vidéo'!V5))</f>
        <v/>
      </c>
      <c r="W6" s="3">
        <f>IF('Évolution par vidéo'!W6="","",'Évolution par vidéo'!W6-N('Évolution par vidéo'!W5))</f>
        <v/>
      </c>
      <c r="X6" s="3">
        <f>IF('Évolution par vidéo'!X6="","",'Évolution par vidéo'!X6-N('Évolution par vidéo'!X5))</f>
        <v/>
      </c>
      <c r="Y6" s="3">
        <f>IF('Évolution par vidéo'!Y6="","",'Évolution par vidéo'!Y6-N('Évolution par vidéo'!Y5))</f>
        <v/>
      </c>
      <c r="Z6" s="3">
        <f>IF('Évolution par vidéo'!Z6="","",'Évolution par vidéo'!Z6-N('Évolution par vidéo'!Z5))</f>
        <v/>
      </c>
      <c r="AA6" s="3">
        <f>SUM(B6:Z6)</f>
        <v/>
      </c>
    </row>
    <row r="7">
      <c r="A7" s="2" t="inlineStr">
        <is>
          <t>2026-10-23</t>
        </is>
      </c>
      <c r="B7" s="3">
        <f>IF('Évolution par vidéo'!B7="","",'Évolution par vidéo'!B7-N('Évolution par vidéo'!B6))</f>
        <v/>
      </c>
      <c r="C7" s="3">
        <f>IF('Évolution par vidéo'!C7="","",'Évolution par vidéo'!C7-N('Évolution par vidéo'!C6))</f>
        <v/>
      </c>
      <c r="D7" s="3">
        <f>IF('Évolution par vidéo'!D7="","",'Évolution par vidéo'!D7-N('Évolution par vidéo'!D6))</f>
        <v/>
      </c>
      <c r="E7" s="3">
        <f>IF('Évolution par vidéo'!E7="","",'Évolution par vidéo'!E7-N('Évolution par vidéo'!E6))</f>
        <v/>
      </c>
      <c r="F7" s="3">
        <f>IF('Évolution par vidéo'!F7="","",'Évolution par vidéo'!F7-N('Évolution par vidéo'!F6))</f>
        <v/>
      </c>
      <c r="G7" s="3">
        <f>IF('Évolution par vidéo'!G7="","",'Évolution par vidéo'!G7-N('Évolution par vidéo'!G6))</f>
        <v/>
      </c>
      <c r="H7" s="3">
        <f>IF('Évolution par vidéo'!H7="","",'Évolution par vidéo'!H7-N('Évolution par vidéo'!H6))</f>
        <v/>
      </c>
      <c r="I7" s="3">
        <f>IF('Évolution par vidéo'!I7="","",'Évolution par vidéo'!I7-N('Évolution par vidéo'!I6))</f>
        <v/>
      </c>
      <c r="J7" s="3">
        <f>IF('Évolution par vidéo'!J7="","",'Évolution par vidéo'!J7-N('Évolution par vidéo'!J6))</f>
        <v/>
      </c>
      <c r="K7" s="3">
        <f>IF('Évolution par vidéo'!K7="","",'Évolution par vidéo'!K7-N('Évolution par vidéo'!K6))</f>
        <v/>
      </c>
      <c r="L7" s="3">
        <f>IF('Évolution par vidéo'!L7="","",'Évolution par vidéo'!L7-N('Évolution par vidéo'!L6))</f>
        <v/>
      </c>
      <c r="M7" s="3">
        <f>IF('Évolution par vidéo'!M7="","",'Évolution par vidéo'!M7-N('Évolution par vidéo'!M6))</f>
        <v/>
      </c>
      <c r="N7" s="3">
        <f>IF('Évolution par vidéo'!N7="","",'Évolution par vidéo'!N7-N('Évolution par vidéo'!N6))</f>
        <v/>
      </c>
      <c r="O7" s="3">
        <f>IF('Évolution par vidéo'!O7="","",'Évolution par vidéo'!O7-N('Évolution par vidéo'!O6))</f>
        <v/>
      </c>
      <c r="P7" s="3">
        <f>IF('Évolution par vidéo'!P7="","",'Évolution par vidéo'!P7-N('Évolution par vidéo'!P6))</f>
        <v/>
      </c>
      <c r="Q7" s="3">
        <f>IF('Évolution par vidéo'!Q7="","",'Évolution par vidéo'!Q7-N('Évolution par vidéo'!Q6))</f>
        <v/>
      </c>
      <c r="R7" s="3">
        <f>IF('Évolution par vidéo'!R7="","",'Évolution par vidéo'!R7-N('Évolution par vidéo'!R6))</f>
        <v/>
      </c>
      <c r="S7" s="3">
        <f>IF('Évolution par vidéo'!S7="","",'Évolution par vidéo'!S7-N('Évolution par vidéo'!S6))</f>
        <v/>
      </c>
      <c r="T7" s="3">
        <f>IF('Évolution par vidéo'!T7="","",'Évolution par vidéo'!T7-N('Évolution par vidéo'!T6))</f>
        <v/>
      </c>
      <c r="U7" s="3">
        <f>IF('Évolution par vidéo'!U7="","",'Évolution par vidéo'!U7-N('Évolution par vidéo'!U6))</f>
        <v/>
      </c>
      <c r="V7" s="3">
        <f>IF('Évolution par vidéo'!V7="","",'Évolution par vidéo'!V7-N('Évolution par vidéo'!V6))</f>
        <v/>
      </c>
      <c r="W7" s="3">
        <f>IF('Évolution par vidéo'!W7="","",'Évolution par vidéo'!W7-N('Évolution par vidéo'!W6))</f>
        <v/>
      </c>
      <c r="X7" s="3">
        <f>IF('Évolution par vidéo'!X7="","",'Évolution par vidéo'!X7-N('Évolution par vidéo'!X6))</f>
        <v/>
      </c>
      <c r="Y7" s="3">
        <f>IF('Évolution par vidéo'!Y7="","",'Évolution par vidéo'!Y7-N('Évolution par vidéo'!Y6))</f>
        <v/>
      </c>
      <c r="Z7" s="3">
        <f>IF('Évolution par vidéo'!Z7="","",'Évolution par vidéo'!Z7-N('Évolution par vidéo'!Z6))</f>
        <v/>
      </c>
      <c r="AA7" s="3">
        <f>SUM(B7:Z7)</f>
        <v/>
      </c>
    </row>
    <row r="8">
      <c r="A8" s="2" t="inlineStr">
        <is>
          <t>2026-10-24</t>
        </is>
      </c>
      <c r="B8" s="3">
        <f>IF('Évolution par vidéo'!B8="","",'Évolution par vidéo'!B8-N('Évolution par vidéo'!B7))</f>
        <v/>
      </c>
      <c r="C8" s="3">
        <f>IF('Évolution par vidéo'!C8="","",'Évolution par vidéo'!C8-N('Évolution par vidéo'!C7))</f>
        <v/>
      </c>
      <c r="D8" s="3">
        <f>IF('Évolution par vidéo'!D8="","",'Évolution par vidéo'!D8-N('Évolution par vidéo'!D7))</f>
        <v/>
      </c>
      <c r="E8" s="3">
        <f>IF('Évolution par vidéo'!E8="","",'Évolution par vidéo'!E8-N('Évolution par vidéo'!E7))</f>
        <v/>
      </c>
      <c r="F8" s="3">
        <f>IF('Évolution par vidéo'!F8="","",'Évolution par vidéo'!F8-N('Évolution par vidéo'!F7))</f>
        <v/>
      </c>
      <c r="G8" s="3">
        <f>IF('Évolution par vidéo'!G8="","",'Évolution par vidéo'!G8-N('Évolution par vidéo'!G7))</f>
        <v/>
      </c>
      <c r="H8" s="3">
        <f>IF('Évolution par vidéo'!H8="","",'Évolution par vidéo'!H8-N('Évolution par vidéo'!H7))</f>
        <v/>
      </c>
      <c r="I8" s="3">
        <f>IF('Évolution par vidéo'!I8="","",'Évolution par vidéo'!I8-N('Évolution par vidéo'!I7))</f>
        <v/>
      </c>
      <c r="J8" s="3">
        <f>IF('Évolution par vidéo'!J8="","",'Évolution par vidéo'!J8-N('Évolution par vidéo'!J7))</f>
        <v/>
      </c>
      <c r="K8" s="3">
        <f>IF('Évolution par vidéo'!K8="","",'Évolution par vidéo'!K8-N('Évolution par vidéo'!K7))</f>
        <v/>
      </c>
      <c r="L8" s="3">
        <f>IF('Évolution par vidéo'!L8="","",'Évolution par vidéo'!L8-N('Évolution par vidéo'!L7))</f>
        <v/>
      </c>
      <c r="M8" s="3">
        <f>IF('Évolution par vidéo'!M8="","",'Évolution par vidéo'!M8-N('Évolution par vidéo'!M7))</f>
        <v/>
      </c>
      <c r="N8" s="3">
        <f>IF('Évolution par vidéo'!N8="","",'Évolution par vidéo'!N8-N('Évolution par vidéo'!N7))</f>
        <v/>
      </c>
      <c r="O8" s="3">
        <f>IF('Évolution par vidéo'!O8="","",'Évolution par vidéo'!O8-N('Évolution par vidéo'!O7))</f>
        <v/>
      </c>
      <c r="P8" s="3">
        <f>IF('Évolution par vidéo'!P8="","",'Évolution par vidéo'!P8-N('Évolution par vidéo'!P7))</f>
        <v/>
      </c>
      <c r="Q8" s="3">
        <f>IF('Évolution par vidéo'!Q8="","",'Évolution par vidéo'!Q8-N('Évolution par vidéo'!Q7))</f>
        <v/>
      </c>
      <c r="R8" s="3">
        <f>IF('Évolution par vidéo'!R8="","",'Évolution par vidéo'!R8-N('Évolution par vidéo'!R7))</f>
        <v/>
      </c>
      <c r="S8" s="3">
        <f>IF('Évolution par vidéo'!S8="","",'Évolution par vidéo'!S8-N('Évolution par vidéo'!S7))</f>
        <v/>
      </c>
      <c r="T8" s="3">
        <f>IF('Évolution par vidéo'!T8="","",'Évolution par vidéo'!T8-N('Évolution par vidéo'!T7))</f>
        <v/>
      </c>
      <c r="U8" s="3">
        <f>IF('Évolution par vidéo'!U8="","",'Évolution par vidéo'!U8-N('Évolution par vidéo'!U7))</f>
        <v/>
      </c>
      <c r="V8" s="3">
        <f>IF('Évolution par vidéo'!V8="","",'Évolution par vidéo'!V8-N('Évolution par vidéo'!V7))</f>
        <v/>
      </c>
      <c r="W8" s="3">
        <f>IF('Évolution par vidéo'!W8="","",'Évolution par vidéo'!W8-N('Évolution par vidéo'!W7))</f>
        <v/>
      </c>
      <c r="X8" s="3">
        <f>IF('Évolution par vidéo'!X8="","",'Évolution par vidéo'!X8-N('Évolution par vidéo'!X7))</f>
        <v/>
      </c>
      <c r="Y8" s="3">
        <f>IF('Évolution par vidéo'!Y8="","",'Évolution par vidéo'!Y8-N('Évolution par vidéo'!Y7))</f>
        <v/>
      </c>
      <c r="Z8" s="3">
        <f>IF('Évolution par vidéo'!Z8="","",'Évolution par vidéo'!Z8-N('Évolution par vidéo'!Z7))</f>
        <v/>
      </c>
      <c r="AA8" s="3">
        <f>SUM(B8:Z8)</f>
        <v/>
      </c>
    </row>
    <row r="9">
      <c r="A9" s="2" t="inlineStr">
        <is>
          <t>2026-10-25</t>
        </is>
      </c>
      <c r="B9" s="3">
        <f>IF('Évolution par vidéo'!B9="","",'Évolution par vidéo'!B9-N('Évolution par vidéo'!B8))</f>
        <v/>
      </c>
      <c r="C9" s="3">
        <f>IF('Évolution par vidéo'!C9="","",'Évolution par vidéo'!C9-N('Évolution par vidéo'!C8))</f>
        <v/>
      </c>
      <c r="D9" s="3">
        <f>IF('Évolution par vidéo'!D9="","",'Évolution par vidéo'!D9-N('Évolution par vidéo'!D8))</f>
        <v/>
      </c>
      <c r="E9" s="3">
        <f>IF('Évolution par vidéo'!E9="","",'Évolution par vidéo'!E9-N('Évolution par vidéo'!E8))</f>
        <v/>
      </c>
      <c r="F9" s="3">
        <f>IF('Évolution par vidéo'!F9="","",'Évolution par vidéo'!F9-N('Évolution par vidéo'!F8))</f>
        <v/>
      </c>
      <c r="G9" s="3">
        <f>IF('Évolution par vidéo'!G9="","",'Évolution par vidéo'!G9-N('Évolution par vidéo'!G8))</f>
        <v/>
      </c>
      <c r="H9" s="3">
        <f>IF('Évolution par vidéo'!H9="","",'Évolution par vidéo'!H9-N('Évolution par vidéo'!H8))</f>
        <v/>
      </c>
      <c r="I9" s="3">
        <f>IF('Évolution par vidéo'!I9="","",'Évolution par vidéo'!I9-N('Évolution par vidéo'!I8))</f>
        <v/>
      </c>
      <c r="J9" s="3">
        <f>IF('Évolution par vidéo'!J9="","",'Évolution par vidéo'!J9-N('Évolution par vidéo'!J8))</f>
        <v/>
      </c>
      <c r="K9" s="3">
        <f>IF('Évolution par vidéo'!K9="","",'Évolution par vidéo'!K9-N('Évolution par vidéo'!K8))</f>
        <v/>
      </c>
      <c r="L9" s="3">
        <f>IF('Évolution par vidéo'!L9="","",'Évolution par vidéo'!L9-N('Évolution par vidéo'!L8))</f>
        <v/>
      </c>
      <c r="M9" s="3">
        <f>IF('Évolution par vidéo'!M9="","",'Évolution par vidéo'!M9-N('Évolution par vidéo'!M8))</f>
        <v/>
      </c>
      <c r="N9" s="3">
        <f>IF('Évolution par vidéo'!N9="","",'Évolution par vidéo'!N9-N('Évolution par vidéo'!N8))</f>
        <v/>
      </c>
      <c r="O9" s="3">
        <f>IF('Évolution par vidéo'!O9="","",'Évolution par vidéo'!O9-N('Évolution par vidéo'!O8))</f>
        <v/>
      </c>
      <c r="P9" s="3">
        <f>IF('Évolution par vidéo'!P9="","",'Évolution par vidéo'!P9-N('Évolution par vidéo'!P8))</f>
        <v/>
      </c>
      <c r="Q9" s="3">
        <f>IF('Évolution par vidéo'!Q9="","",'Évolution par vidéo'!Q9-N('Évolution par vidéo'!Q8))</f>
        <v/>
      </c>
      <c r="R9" s="3">
        <f>IF('Évolution par vidéo'!R9="","",'Évolution par vidéo'!R9-N('Évolution par vidéo'!R8))</f>
        <v/>
      </c>
      <c r="S9" s="3">
        <f>IF('Évolution par vidéo'!S9="","",'Évolution par vidéo'!S9-N('Évolution par vidéo'!S8))</f>
        <v/>
      </c>
      <c r="T9" s="3">
        <f>IF('Évolution par vidéo'!T9="","",'Évolution par vidéo'!T9-N('Évolution par vidéo'!T8))</f>
        <v/>
      </c>
      <c r="U9" s="3">
        <f>IF('Évolution par vidéo'!U9="","",'Évolution par vidéo'!U9-N('Évolution par vidéo'!U8))</f>
        <v/>
      </c>
      <c r="V9" s="3">
        <f>IF('Évolution par vidéo'!V9="","",'Évolution par vidéo'!V9-N('Évolution par vidéo'!V8))</f>
        <v/>
      </c>
      <c r="W9" s="3">
        <f>IF('Évolution par vidéo'!W9="","",'Évolution par vidéo'!W9-N('Évolution par vidéo'!W8))</f>
        <v/>
      </c>
      <c r="X9" s="3">
        <f>IF('Évolution par vidéo'!X9="","",'Évolution par vidéo'!X9-N('Évolution par vidéo'!X8))</f>
        <v/>
      </c>
      <c r="Y9" s="3">
        <f>IF('Évolution par vidéo'!Y9="","",'Évolution par vidéo'!Y9-N('Évolution par vidéo'!Y8))</f>
        <v/>
      </c>
      <c r="Z9" s="3">
        <f>IF('Évolution par vidéo'!Z9="","",'Évolution par vidéo'!Z9-N('Évolution par vidéo'!Z8))</f>
        <v/>
      </c>
      <c r="AA9" s="3">
        <f>SUM(B9:Z9)</f>
        <v/>
      </c>
    </row>
    <row r="10">
      <c r="A10" s="2" t="inlineStr">
        <is>
          <t>2026-10-26</t>
        </is>
      </c>
      <c r="B10" s="3">
        <f>IF('Évolution par vidéo'!B10="","",'Évolution par vidéo'!B10-N('Évolution par vidéo'!B9))</f>
        <v/>
      </c>
      <c r="C10" s="3">
        <f>IF('Évolution par vidéo'!C10="","",'Évolution par vidéo'!C10-N('Évolution par vidéo'!C9))</f>
        <v/>
      </c>
      <c r="D10" s="3">
        <f>IF('Évolution par vidéo'!D10="","",'Évolution par vidéo'!D10-N('Évolution par vidéo'!D9))</f>
        <v/>
      </c>
      <c r="E10" s="3">
        <f>IF('Évolution par vidéo'!E10="","",'Évolution par vidéo'!E10-N('Évolution par vidéo'!E9))</f>
        <v/>
      </c>
      <c r="F10" s="3">
        <f>IF('Évolution par vidéo'!F10="","",'Évolution par vidéo'!F10-N('Évolution par vidéo'!F9))</f>
        <v/>
      </c>
      <c r="G10" s="3">
        <f>IF('Évolution par vidéo'!G10="","",'Évolution par vidéo'!G10-N('Évolution par vidéo'!G9))</f>
        <v/>
      </c>
      <c r="H10" s="3">
        <f>IF('Évolution par vidéo'!H10="","",'Évolution par vidéo'!H10-N('Évolution par vidéo'!H9))</f>
        <v/>
      </c>
      <c r="I10" s="3">
        <f>IF('Évolution par vidéo'!I10="","",'Évolution par vidéo'!I10-N('Évolution par vidéo'!I9))</f>
        <v/>
      </c>
      <c r="J10" s="3">
        <f>IF('Évolution par vidéo'!J10="","",'Évolution par vidéo'!J10-N('Évolution par vidéo'!J9))</f>
        <v/>
      </c>
      <c r="K10" s="3">
        <f>IF('Évolution par vidéo'!K10="","",'Évolution par vidéo'!K10-N('Évolution par vidéo'!K9))</f>
        <v/>
      </c>
      <c r="L10" s="3">
        <f>IF('Évolution par vidéo'!L10="","",'Évolution par vidéo'!L10-N('Évolution par vidéo'!L9))</f>
        <v/>
      </c>
      <c r="M10" s="3">
        <f>IF('Évolution par vidéo'!M10="","",'Évolution par vidéo'!M10-N('Évolution par vidéo'!M9))</f>
        <v/>
      </c>
      <c r="N10" s="3">
        <f>IF('Évolution par vidéo'!N10="","",'Évolution par vidéo'!N10-N('Évolution par vidéo'!N9))</f>
        <v/>
      </c>
      <c r="O10" s="3">
        <f>IF('Évolution par vidéo'!O10="","",'Évolution par vidéo'!O10-N('Évolution par vidéo'!O9))</f>
        <v/>
      </c>
      <c r="P10" s="3">
        <f>IF('Évolution par vidéo'!P10="","",'Évolution par vidéo'!P10-N('Évolution par vidéo'!P9))</f>
        <v/>
      </c>
      <c r="Q10" s="3">
        <f>IF('Évolution par vidéo'!Q10="","",'Évolution par vidéo'!Q10-N('Évolution par vidéo'!Q9))</f>
        <v/>
      </c>
      <c r="R10" s="3">
        <f>IF('Évolution par vidéo'!R10="","",'Évolution par vidéo'!R10-N('Évolution par vidéo'!R9))</f>
        <v/>
      </c>
      <c r="S10" s="3">
        <f>IF('Évolution par vidéo'!S10="","",'Évolution par vidéo'!S10-N('Évolution par vidéo'!S9))</f>
        <v/>
      </c>
      <c r="T10" s="3">
        <f>IF('Évolution par vidéo'!T10="","",'Évolution par vidéo'!T10-N('Évolution par vidéo'!T9))</f>
        <v/>
      </c>
      <c r="U10" s="3">
        <f>IF('Évolution par vidéo'!U10="","",'Évolution par vidéo'!U10-N('Évolution par vidéo'!U9))</f>
        <v/>
      </c>
      <c r="V10" s="3">
        <f>IF('Évolution par vidéo'!V10="","",'Évolution par vidéo'!V10-N('Évolution par vidéo'!V9))</f>
        <v/>
      </c>
      <c r="W10" s="3">
        <f>IF('Évolution par vidéo'!W10="","",'Évolution par vidéo'!W10-N('Évolution par vidéo'!W9))</f>
        <v/>
      </c>
      <c r="X10" s="3">
        <f>IF('Évolution par vidéo'!X10="","",'Évolution par vidéo'!X10-N('Évolution par vidéo'!X9))</f>
        <v/>
      </c>
      <c r="Y10" s="3">
        <f>IF('Évolution par vidéo'!Y10="","",'Évolution par vidéo'!Y10-N('Évolution par vidéo'!Y9))</f>
        <v/>
      </c>
      <c r="Z10" s="3">
        <f>IF('Évolution par vidéo'!Z10="","",'Évolution par vidéo'!Z10-N('Évolution par vidéo'!Z9))</f>
        <v/>
      </c>
      <c r="AA10" s="3">
        <f>SUM(B10:Z10)</f>
        <v/>
      </c>
    </row>
    <row r="11">
      <c r="A11" s="2" t="inlineStr">
        <is>
          <t>2026-10-27</t>
        </is>
      </c>
      <c r="B11" s="3">
        <f>IF('Évolution par vidéo'!B11="","",'Évolution par vidéo'!B11-N('Évolution par vidéo'!B10))</f>
        <v/>
      </c>
      <c r="C11" s="3">
        <f>IF('Évolution par vidéo'!C11="","",'Évolution par vidéo'!C11-N('Évolution par vidéo'!C10))</f>
        <v/>
      </c>
      <c r="D11" s="3">
        <f>IF('Évolution par vidéo'!D11="","",'Évolution par vidéo'!D11-N('Évolution par vidéo'!D10))</f>
        <v/>
      </c>
      <c r="E11" s="3">
        <f>IF('Évolution par vidéo'!E11="","",'Évolution par vidéo'!E11-N('Évolution par vidéo'!E10))</f>
        <v/>
      </c>
      <c r="F11" s="3">
        <f>IF('Évolution par vidéo'!F11="","",'Évolution par vidéo'!F11-N('Évolution par vidéo'!F10))</f>
        <v/>
      </c>
      <c r="G11" s="3">
        <f>IF('Évolution par vidéo'!G11="","",'Évolution par vidéo'!G11-N('Évolution par vidéo'!G10))</f>
        <v/>
      </c>
      <c r="H11" s="3">
        <f>IF('Évolution par vidéo'!H11="","",'Évolution par vidéo'!H11-N('Évolution par vidéo'!H10))</f>
        <v/>
      </c>
      <c r="I11" s="3">
        <f>IF('Évolution par vidéo'!I11="","",'Évolution par vidéo'!I11-N('Évolution par vidéo'!I10))</f>
        <v/>
      </c>
      <c r="J11" s="3">
        <f>IF('Évolution par vidéo'!J11="","",'Évolution par vidéo'!J11-N('Évolution par vidéo'!J10))</f>
        <v/>
      </c>
      <c r="K11" s="3">
        <f>IF('Évolution par vidéo'!K11="","",'Évolution par vidéo'!K11-N('Évolution par vidéo'!K10))</f>
        <v/>
      </c>
      <c r="L11" s="3">
        <f>IF('Évolution par vidéo'!L11="","",'Évolution par vidéo'!L11-N('Évolution par vidéo'!L10))</f>
        <v/>
      </c>
      <c r="M11" s="3">
        <f>IF('Évolution par vidéo'!M11="","",'Évolution par vidéo'!M11-N('Évolution par vidéo'!M10))</f>
        <v/>
      </c>
      <c r="N11" s="3">
        <f>IF('Évolution par vidéo'!N11="","",'Évolution par vidéo'!N11-N('Évolution par vidéo'!N10))</f>
        <v/>
      </c>
      <c r="O11" s="3">
        <f>IF('Évolution par vidéo'!O11="","",'Évolution par vidéo'!O11-N('Évolution par vidéo'!O10))</f>
        <v/>
      </c>
      <c r="P11" s="3">
        <f>IF('Évolution par vidéo'!P11="","",'Évolution par vidéo'!P11-N('Évolution par vidéo'!P10))</f>
        <v/>
      </c>
      <c r="Q11" s="3">
        <f>IF('Évolution par vidéo'!Q11="","",'Évolution par vidéo'!Q11-N('Évolution par vidéo'!Q10))</f>
        <v/>
      </c>
      <c r="R11" s="3">
        <f>IF('Évolution par vidéo'!R11="","",'Évolution par vidéo'!R11-N('Évolution par vidéo'!R10))</f>
        <v/>
      </c>
      <c r="S11" s="3">
        <f>IF('Évolution par vidéo'!S11="","",'Évolution par vidéo'!S11-N('Évolution par vidéo'!S10))</f>
        <v/>
      </c>
      <c r="T11" s="3">
        <f>IF('Évolution par vidéo'!T11="","",'Évolution par vidéo'!T11-N('Évolution par vidéo'!T10))</f>
        <v/>
      </c>
      <c r="U11" s="3">
        <f>IF('Évolution par vidéo'!U11="","",'Évolution par vidéo'!U11-N('Évolution par vidéo'!U10))</f>
        <v/>
      </c>
      <c r="V11" s="3">
        <f>IF('Évolution par vidéo'!V11="","",'Évolution par vidéo'!V11-N('Évolution par vidéo'!V10))</f>
        <v/>
      </c>
      <c r="W11" s="3">
        <f>IF('Évolution par vidéo'!W11="","",'Évolution par vidéo'!W11-N('Évolution par vidéo'!W10))</f>
        <v/>
      </c>
      <c r="X11" s="3">
        <f>IF('Évolution par vidéo'!X11="","",'Évolution par vidéo'!X11-N('Évolution par vidéo'!X10))</f>
        <v/>
      </c>
      <c r="Y11" s="3">
        <f>IF('Évolution par vidéo'!Y11="","",'Évolution par vidéo'!Y11-N('Évolution par vidéo'!Y10))</f>
        <v/>
      </c>
      <c r="Z11" s="3">
        <f>IF('Évolution par vidéo'!Z11="","",'Évolution par vidéo'!Z11-N('Évolution par vidéo'!Z10))</f>
        <v/>
      </c>
      <c r="AA11" s="3">
        <f>SUM(B11:Z11)</f>
        <v/>
      </c>
    </row>
    <row r="12">
      <c r="A12" s="2" t="inlineStr">
        <is>
          <t>2026-10-28</t>
        </is>
      </c>
      <c r="B12" s="3">
        <f>IF('Évolution par vidéo'!B12="","",'Évolution par vidéo'!B12-N('Évolution par vidéo'!B11))</f>
        <v/>
      </c>
      <c r="C12" s="3">
        <f>IF('Évolution par vidéo'!C12="","",'Évolution par vidéo'!C12-N('Évolution par vidéo'!C11))</f>
        <v/>
      </c>
      <c r="D12" s="3">
        <f>IF('Évolution par vidéo'!D12="","",'Évolution par vidéo'!D12-N('Évolution par vidéo'!D11))</f>
        <v/>
      </c>
      <c r="E12" s="3">
        <f>IF('Évolution par vidéo'!E12="","",'Évolution par vidéo'!E12-N('Évolution par vidéo'!E11))</f>
        <v/>
      </c>
      <c r="F12" s="3">
        <f>IF('Évolution par vidéo'!F12="","",'Évolution par vidéo'!F12-N('Évolution par vidéo'!F11))</f>
        <v/>
      </c>
      <c r="G12" s="3">
        <f>IF('Évolution par vidéo'!G12="","",'Évolution par vidéo'!G12-N('Évolution par vidéo'!G11))</f>
        <v/>
      </c>
      <c r="H12" s="3">
        <f>IF('Évolution par vidéo'!H12="","",'Évolution par vidéo'!H12-N('Évolution par vidéo'!H11))</f>
        <v/>
      </c>
      <c r="I12" s="3">
        <f>IF('Évolution par vidéo'!I12="","",'Évolution par vidéo'!I12-N('Évolution par vidéo'!I11))</f>
        <v/>
      </c>
      <c r="J12" s="3">
        <f>IF('Évolution par vidéo'!J12="","",'Évolution par vidéo'!J12-N('Évolution par vidéo'!J11))</f>
        <v/>
      </c>
      <c r="K12" s="3">
        <f>IF('Évolution par vidéo'!K12="","",'Évolution par vidéo'!K12-N('Évolution par vidéo'!K11))</f>
        <v/>
      </c>
      <c r="L12" s="3">
        <f>IF('Évolution par vidéo'!L12="","",'Évolution par vidéo'!L12-N('Évolution par vidéo'!L11))</f>
        <v/>
      </c>
      <c r="M12" s="3">
        <f>IF('Évolution par vidéo'!M12="","",'Évolution par vidéo'!M12-N('Évolution par vidéo'!M11))</f>
        <v/>
      </c>
      <c r="N12" s="3">
        <f>IF('Évolution par vidéo'!N12="","",'Évolution par vidéo'!N12-N('Évolution par vidéo'!N11))</f>
        <v/>
      </c>
      <c r="O12" s="3">
        <f>IF('Évolution par vidéo'!O12="","",'Évolution par vidéo'!O12-N('Évolution par vidéo'!O11))</f>
        <v/>
      </c>
      <c r="P12" s="3">
        <f>IF('Évolution par vidéo'!P12="","",'Évolution par vidéo'!P12-N('Évolution par vidéo'!P11))</f>
        <v/>
      </c>
      <c r="Q12" s="3">
        <f>IF('Évolution par vidéo'!Q12="","",'Évolution par vidéo'!Q12-N('Évolution par vidéo'!Q11))</f>
        <v/>
      </c>
      <c r="R12" s="3">
        <f>IF('Évolution par vidéo'!R12="","",'Évolution par vidéo'!R12-N('Évolution par vidéo'!R11))</f>
        <v/>
      </c>
      <c r="S12" s="3">
        <f>IF('Évolution par vidéo'!S12="","",'Évolution par vidéo'!S12-N('Évolution par vidéo'!S11))</f>
        <v/>
      </c>
      <c r="T12" s="3">
        <f>IF('Évolution par vidéo'!T12="","",'Évolution par vidéo'!T12-N('Évolution par vidéo'!T11))</f>
        <v/>
      </c>
      <c r="U12" s="3">
        <f>IF('Évolution par vidéo'!U12="","",'Évolution par vidéo'!U12-N('Évolution par vidéo'!U11))</f>
        <v/>
      </c>
      <c r="V12" s="3">
        <f>IF('Évolution par vidéo'!V12="","",'Évolution par vidéo'!V12-N('Évolution par vidéo'!V11))</f>
        <v/>
      </c>
      <c r="W12" s="3">
        <f>IF('Évolution par vidéo'!W12="","",'Évolution par vidéo'!W12-N('Évolution par vidéo'!W11))</f>
        <v/>
      </c>
      <c r="X12" s="3">
        <f>IF('Évolution par vidéo'!X12="","",'Évolution par vidéo'!X12-N('Évolution par vidéo'!X11))</f>
        <v/>
      </c>
      <c r="Y12" s="3">
        <f>IF('Évolution par vidéo'!Y12="","",'Évolution par vidéo'!Y12-N('Évolution par vidéo'!Y11))</f>
        <v/>
      </c>
      <c r="Z12" s="3">
        <f>IF('Évolution par vidéo'!Z12="","",'Évolution par vidéo'!Z12-N('Évolution par vidéo'!Z11))</f>
        <v/>
      </c>
      <c r="AA12" s="3">
        <f>SUM(B12:Z12)</f>
        <v/>
      </c>
    </row>
    <row r="13">
      <c r="A13" s="2" t="inlineStr">
        <is>
          <t>2026-10-29</t>
        </is>
      </c>
      <c r="B13" s="3">
        <f>IF('Évolution par vidéo'!B13="","",'Évolution par vidéo'!B13-N('Évolution par vidéo'!B12))</f>
        <v/>
      </c>
      <c r="C13" s="3">
        <f>IF('Évolution par vidéo'!C13="","",'Évolution par vidéo'!C13-N('Évolution par vidéo'!C12))</f>
        <v/>
      </c>
      <c r="D13" s="3">
        <f>IF('Évolution par vidéo'!D13="","",'Évolution par vidéo'!D13-N('Évolution par vidéo'!D12))</f>
        <v/>
      </c>
      <c r="E13" s="3">
        <f>IF('Évolution par vidéo'!E13="","",'Évolution par vidéo'!E13-N('Évolution par vidéo'!E12))</f>
        <v/>
      </c>
      <c r="F13" s="3">
        <f>IF('Évolution par vidéo'!F13="","",'Évolution par vidéo'!F13-N('Évolution par vidéo'!F12))</f>
        <v/>
      </c>
      <c r="G13" s="3">
        <f>IF('Évolution par vidéo'!G13="","",'Évolution par vidéo'!G13-N('Évolution par vidéo'!G12))</f>
        <v/>
      </c>
      <c r="H13" s="3">
        <f>IF('Évolution par vidéo'!H13="","",'Évolution par vidéo'!H13-N('Évolution par vidéo'!H12))</f>
        <v/>
      </c>
      <c r="I13" s="3">
        <f>IF('Évolution par vidéo'!I13="","",'Évolution par vidéo'!I13-N('Évolution par vidéo'!I12))</f>
        <v/>
      </c>
      <c r="J13" s="3">
        <f>IF('Évolution par vidéo'!J13="","",'Évolution par vidéo'!J13-N('Évolution par vidéo'!J12))</f>
        <v/>
      </c>
      <c r="K13" s="3">
        <f>IF('Évolution par vidéo'!K13="","",'Évolution par vidéo'!K13-N('Évolution par vidéo'!K12))</f>
        <v/>
      </c>
      <c r="L13" s="3">
        <f>IF('Évolution par vidéo'!L13="","",'Évolution par vidéo'!L13-N('Évolution par vidéo'!L12))</f>
        <v/>
      </c>
      <c r="M13" s="3">
        <f>IF('Évolution par vidéo'!M13="","",'Évolution par vidéo'!M13-N('Évolution par vidéo'!M12))</f>
        <v/>
      </c>
      <c r="N13" s="3">
        <f>IF('Évolution par vidéo'!N13="","",'Évolution par vidéo'!N13-N('Évolution par vidéo'!N12))</f>
        <v/>
      </c>
      <c r="O13" s="3">
        <f>IF('Évolution par vidéo'!O13="","",'Évolution par vidéo'!O13-N('Évolution par vidéo'!O12))</f>
        <v/>
      </c>
      <c r="P13" s="3">
        <f>IF('Évolution par vidéo'!P13="","",'Évolution par vidéo'!P13-N('Évolution par vidéo'!P12))</f>
        <v/>
      </c>
      <c r="Q13" s="3">
        <f>IF('Évolution par vidéo'!Q13="","",'Évolution par vidéo'!Q13-N('Évolution par vidéo'!Q12))</f>
        <v/>
      </c>
      <c r="R13" s="3">
        <f>IF('Évolution par vidéo'!R13="","",'Évolution par vidéo'!R13-N('Évolution par vidéo'!R12))</f>
        <v/>
      </c>
      <c r="S13" s="3">
        <f>IF('Évolution par vidéo'!S13="","",'Évolution par vidéo'!S13-N('Évolution par vidéo'!S12))</f>
        <v/>
      </c>
      <c r="T13" s="3">
        <f>IF('Évolution par vidéo'!T13="","",'Évolution par vidéo'!T13-N('Évolution par vidéo'!T12))</f>
        <v/>
      </c>
      <c r="U13" s="3">
        <f>IF('Évolution par vidéo'!U13="","",'Évolution par vidéo'!U13-N('Évolution par vidéo'!U12))</f>
        <v/>
      </c>
      <c r="V13" s="3">
        <f>IF('Évolution par vidéo'!V13="","",'Évolution par vidéo'!V13-N('Évolution par vidéo'!V12))</f>
        <v/>
      </c>
      <c r="W13" s="3">
        <f>IF('Évolution par vidéo'!W13="","",'Évolution par vidéo'!W13-N('Évolution par vidéo'!W12))</f>
        <v/>
      </c>
      <c r="X13" s="3">
        <f>IF('Évolution par vidéo'!X13="","",'Évolution par vidéo'!X13-N('Évolution par vidéo'!X12))</f>
        <v/>
      </c>
      <c r="Y13" s="3">
        <f>IF('Évolution par vidéo'!Y13="","",'Évolution par vidéo'!Y13-N('Évolution par vidéo'!Y12))</f>
        <v/>
      </c>
      <c r="Z13" s="3">
        <f>IF('Évolution par vidéo'!Z13="","",'Évolution par vidéo'!Z13-N('Évolution par vidéo'!Z12))</f>
        <v/>
      </c>
      <c r="AA13" s="3">
        <f>SUM(B13:Z13)</f>
        <v/>
      </c>
    </row>
    <row r="14">
      <c r="A14" s="2" t="inlineStr">
        <is>
          <t>2026-10-30</t>
        </is>
      </c>
      <c r="B14" s="3">
        <f>IF('Évolution par vidéo'!B14="","",'Évolution par vidéo'!B14-N('Évolution par vidéo'!B13))</f>
        <v/>
      </c>
      <c r="C14" s="3">
        <f>IF('Évolution par vidéo'!C14="","",'Évolution par vidéo'!C14-N('Évolution par vidéo'!C13))</f>
        <v/>
      </c>
      <c r="D14" s="3">
        <f>IF('Évolution par vidéo'!D14="","",'Évolution par vidéo'!D14-N('Évolution par vidéo'!D13))</f>
        <v/>
      </c>
      <c r="E14" s="3">
        <f>IF('Évolution par vidéo'!E14="","",'Évolution par vidéo'!E14-N('Évolution par vidéo'!E13))</f>
        <v/>
      </c>
      <c r="F14" s="3">
        <f>IF('Évolution par vidéo'!F14="","",'Évolution par vidéo'!F14-N('Évolution par vidéo'!F13))</f>
        <v/>
      </c>
      <c r="G14" s="3">
        <f>IF('Évolution par vidéo'!G14="","",'Évolution par vidéo'!G14-N('Évolution par vidéo'!G13))</f>
        <v/>
      </c>
      <c r="H14" s="3">
        <f>IF('Évolution par vidéo'!H14="","",'Évolution par vidéo'!H14-N('Évolution par vidéo'!H13))</f>
        <v/>
      </c>
      <c r="I14" s="3">
        <f>IF('Évolution par vidéo'!I14="","",'Évolution par vidéo'!I14-N('Évolution par vidéo'!I13))</f>
        <v/>
      </c>
      <c r="J14" s="3">
        <f>IF('Évolution par vidéo'!J14="","",'Évolution par vidéo'!J14-N('Évolution par vidéo'!J13))</f>
        <v/>
      </c>
      <c r="K14" s="3">
        <f>IF('Évolution par vidéo'!K14="","",'Évolution par vidéo'!K14-N('Évolution par vidéo'!K13))</f>
        <v/>
      </c>
      <c r="L14" s="3">
        <f>IF('Évolution par vidéo'!L14="","",'Évolution par vidéo'!L14-N('Évolution par vidéo'!L13))</f>
        <v/>
      </c>
      <c r="M14" s="3">
        <f>IF('Évolution par vidéo'!M14="","",'Évolution par vidéo'!M14-N('Évolution par vidéo'!M13))</f>
        <v/>
      </c>
      <c r="N14" s="3">
        <f>IF('Évolution par vidéo'!N14="","",'Évolution par vidéo'!N14-N('Évolution par vidéo'!N13))</f>
        <v/>
      </c>
      <c r="O14" s="3">
        <f>IF('Évolution par vidéo'!O14="","",'Évolution par vidéo'!O14-N('Évolution par vidéo'!O13))</f>
        <v/>
      </c>
      <c r="P14" s="3">
        <f>IF('Évolution par vidéo'!P14="","",'Évolution par vidéo'!P14-N('Évolution par vidéo'!P13))</f>
        <v/>
      </c>
      <c r="Q14" s="3">
        <f>IF('Évolution par vidéo'!Q14="","",'Évolution par vidéo'!Q14-N('Évolution par vidéo'!Q13))</f>
        <v/>
      </c>
      <c r="R14" s="3">
        <f>IF('Évolution par vidéo'!R14="","",'Évolution par vidéo'!R14-N('Évolution par vidéo'!R13))</f>
        <v/>
      </c>
      <c r="S14" s="3">
        <f>IF('Évolution par vidéo'!S14="","",'Évolution par vidéo'!S14-N('Évolution par vidéo'!S13))</f>
        <v/>
      </c>
      <c r="T14" s="3">
        <f>IF('Évolution par vidéo'!T14="","",'Évolution par vidéo'!T14-N('Évolution par vidéo'!T13))</f>
        <v/>
      </c>
      <c r="U14" s="3">
        <f>IF('Évolution par vidéo'!U14="","",'Évolution par vidéo'!U14-N('Évolution par vidéo'!U13))</f>
        <v/>
      </c>
      <c r="V14" s="3">
        <f>IF('Évolution par vidéo'!V14="","",'Évolution par vidéo'!V14-N('Évolution par vidéo'!V13))</f>
        <v/>
      </c>
      <c r="W14" s="3">
        <f>IF('Évolution par vidéo'!W14="","",'Évolution par vidéo'!W14-N('Évolution par vidéo'!W13))</f>
        <v/>
      </c>
      <c r="X14" s="3">
        <f>IF('Évolution par vidéo'!X14="","",'Évolution par vidéo'!X14-N('Évolution par vidéo'!X13))</f>
        <v/>
      </c>
      <c r="Y14" s="3">
        <f>IF('Évolution par vidéo'!Y14="","",'Évolution par vidéo'!Y14-N('Évolution par vidéo'!Y13))</f>
        <v/>
      </c>
      <c r="Z14" s="3">
        <f>IF('Évolution par vidéo'!Z14="","",'Évolution par vidéo'!Z14-N('Évolution par vidéo'!Z13))</f>
        <v/>
      </c>
      <c r="AA14" s="3">
        <f>SUM(B14:Z14)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10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9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1" customWidth="1" min="13" max="13"/>
  </cols>
  <sheetData>
    <row r="1" ht="32" customHeight="1">
      <c r="A1" s="1" t="inlineStr">
        <is>
          <t>Heure</t>
        </is>
      </c>
      <c r="B1" s="1" t="inlineStr">
        <is>
          <t>Abonnés</t>
        </is>
      </c>
      <c r="C1" s="1" t="inlineStr">
        <is>
          <t>10-21 Gel des pensions : oui</t>
        </is>
      </c>
      <c r="D1" s="1" t="inlineStr">
        <is>
          <t>10-22 Couper les réseaux soc</t>
        </is>
      </c>
      <c r="E1" s="1" t="inlineStr">
        <is>
          <t>10-24 À toi de juger : il fa</t>
        </is>
      </c>
      <c r="F1" s="1" t="inlineStr">
        <is>
          <t>10-24 « Oui, nous avons perd</t>
        </is>
      </c>
      <c r="G1" s="1" t="inlineStr">
        <is>
          <t>10-24 Cinq infos de la semai</t>
        </is>
      </c>
      <c r="H1" s="1" t="inlineStr">
        <is>
          <t>10-25 Des millions publics p</t>
        </is>
      </c>
      <c r="I1" s="1" t="inlineStr">
        <is>
          <t>10-25 Vendredi, Macron au co</t>
        </is>
      </c>
      <c r="J1" s="1" t="inlineStr">
        <is>
          <t xml:space="preserve">10-25 2 513 gardes à vue et </t>
        </is>
      </c>
      <c r="K1" s="1" t="inlineStr">
        <is>
          <t>10-27 54 milliards d'efforts</t>
        </is>
      </c>
      <c r="L1" s="1" t="inlineStr">
        <is>
          <t>10-29 Macron demande aux bra</t>
        </is>
      </c>
      <c r="M1" s="1" t="inlineStr">
        <is>
          <t>Vues totales</t>
        </is>
      </c>
    </row>
    <row r="2">
      <c r="A2" s="2" t="inlineStr">
        <is>
          <t>2026-10-24 17:00</t>
        </is>
      </c>
      <c r="B2" s="3" t="n">
        <v>6</v>
      </c>
      <c r="C2" s="3" t="n">
        <v>114</v>
      </c>
      <c r="D2" s="3" t="n">
        <v>76</v>
      </c>
      <c r="E2" s="3" t="n">
        <v>119</v>
      </c>
      <c r="F2" s="3" t="n">
        <v>124</v>
      </c>
      <c r="G2" s="3" t="n"/>
      <c r="H2" s="3" t="n"/>
      <c r="I2" s="3" t="n"/>
      <c r="J2" s="3" t="n"/>
      <c r="K2" s="3" t="n"/>
      <c r="L2" s="3" t="n"/>
      <c r="M2" s="3">
        <f>SUM(C2:L2)</f>
        <v/>
      </c>
    </row>
    <row r="3">
      <c r="A3" s="2" t="inlineStr">
        <is>
          <t>2026-10-24 18:00</t>
        </is>
      </c>
      <c r="B3" s="3" t="n">
        <v>6</v>
      </c>
      <c r="C3" s="3" t="n">
        <v>114</v>
      </c>
      <c r="D3" s="3" t="n">
        <v>76</v>
      </c>
      <c r="E3" s="3" t="n">
        <v>119</v>
      </c>
      <c r="F3" s="3" t="n">
        <v>130</v>
      </c>
      <c r="G3" s="3" t="n"/>
      <c r="H3" s="3" t="n"/>
      <c r="I3" s="3" t="n"/>
      <c r="J3" s="3" t="n"/>
      <c r="K3" s="3" t="n"/>
      <c r="L3" s="3" t="n"/>
      <c r="M3" s="3">
        <f>SUM(C3:L3)</f>
        <v/>
      </c>
    </row>
    <row r="4">
      <c r="A4" s="2" t="inlineStr">
        <is>
          <t>2026-10-24 19:00</t>
        </is>
      </c>
      <c r="B4" s="3" t="n">
        <v>6</v>
      </c>
      <c r="C4" s="3" t="n">
        <v>114</v>
      </c>
      <c r="D4" s="3" t="n">
        <v>76</v>
      </c>
      <c r="E4" s="3" t="n">
        <v>119</v>
      </c>
      <c r="F4" s="3" t="n">
        <v>135</v>
      </c>
      <c r="G4" s="3" t="n"/>
      <c r="H4" s="3" t="n"/>
      <c r="I4" s="3" t="n"/>
      <c r="J4" s="3" t="n"/>
      <c r="K4" s="3" t="n"/>
      <c r="L4" s="3" t="n"/>
      <c r="M4" s="3">
        <f>SUM(C4:L4)</f>
        <v/>
      </c>
    </row>
    <row r="5">
      <c r="A5" s="2" t="inlineStr">
        <is>
          <t>2026-10-24 20:00</t>
        </is>
      </c>
      <c r="B5" s="3" t="n">
        <v>6</v>
      </c>
      <c r="C5" s="3" t="n">
        <v>114</v>
      </c>
      <c r="D5" s="3" t="n">
        <v>76</v>
      </c>
      <c r="E5" s="3" t="n">
        <v>120</v>
      </c>
      <c r="F5" s="3" t="n">
        <v>137</v>
      </c>
      <c r="G5" s="3" t="n">
        <v>0</v>
      </c>
      <c r="H5" s="3" t="n"/>
      <c r="I5" s="3" t="n"/>
      <c r="J5" s="3" t="n"/>
      <c r="K5" s="3" t="n"/>
      <c r="L5" s="3" t="n"/>
      <c r="M5" s="3">
        <f>SUM(C5:L5)</f>
        <v/>
      </c>
    </row>
    <row r="6">
      <c r="A6" s="2" t="inlineStr">
        <is>
          <t>2026-10-24 21:00</t>
        </is>
      </c>
      <c r="B6" s="3" t="n">
        <v>6</v>
      </c>
      <c r="C6" s="3" t="n">
        <v>114</v>
      </c>
      <c r="D6" s="3" t="n">
        <v>76</v>
      </c>
      <c r="E6" s="3" t="n">
        <v>120</v>
      </c>
      <c r="F6" s="3" t="n">
        <v>137</v>
      </c>
      <c r="G6" s="3" t="n">
        <v>34</v>
      </c>
      <c r="H6" s="3" t="n"/>
      <c r="I6" s="3" t="n"/>
      <c r="J6" s="3" t="n"/>
      <c r="K6" s="3" t="n"/>
      <c r="L6" s="3" t="n"/>
      <c r="M6" s="3">
        <f>SUM(C6:L6)</f>
        <v/>
      </c>
    </row>
    <row r="7">
      <c r="A7" s="2" t="inlineStr">
        <is>
          <t>2026-10-24 22:00</t>
        </is>
      </c>
      <c r="B7" s="3" t="n">
        <v>6</v>
      </c>
      <c r="C7" s="3" t="n">
        <v>114</v>
      </c>
      <c r="D7" s="3" t="n">
        <v>76</v>
      </c>
      <c r="E7" s="3" t="n">
        <v>120</v>
      </c>
      <c r="F7" s="3" t="n">
        <v>137</v>
      </c>
      <c r="G7" s="3" t="n">
        <v>44</v>
      </c>
      <c r="H7" s="3" t="n"/>
      <c r="I7" s="3" t="n"/>
      <c r="J7" s="3" t="n"/>
      <c r="K7" s="3" t="n"/>
      <c r="L7" s="3" t="n"/>
      <c r="M7" s="3">
        <f>SUM(C7:L7)</f>
        <v/>
      </c>
    </row>
    <row r="8">
      <c r="A8" s="2" t="inlineStr">
        <is>
          <t>2026-10-24 23:00</t>
        </is>
      </c>
      <c r="B8" s="3" t="n">
        <v>6</v>
      </c>
      <c r="C8" s="3" t="n">
        <v>114</v>
      </c>
      <c r="D8" s="3" t="n">
        <v>76</v>
      </c>
      <c r="E8" s="3" t="n">
        <v>120</v>
      </c>
      <c r="F8" s="3" t="n">
        <v>138</v>
      </c>
      <c r="G8" s="3" t="n">
        <v>70</v>
      </c>
      <c r="H8" s="3" t="n"/>
      <c r="I8" s="3" t="n"/>
      <c r="J8" s="3" t="n"/>
      <c r="K8" s="3" t="n"/>
      <c r="L8" s="3" t="n"/>
      <c r="M8" s="3">
        <f>SUM(C8:L8)</f>
        <v/>
      </c>
    </row>
    <row r="9">
      <c r="A9" s="2" t="inlineStr">
        <is>
          <t>2026-10-25 06:00</t>
        </is>
      </c>
      <c r="B9" s="3" t="n">
        <v>6</v>
      </c>
      <c r="C9" s="3" t="n">
        <v>114</v>
      </c>
      <c r="D9" s="3" t="n">
        <v>76</v>
      </c>
      <c r="E9" s="3" t="n">
        <v>125</v>
      </c>
      <c r="F9" s="3" t="n">
        <v>167</v>
      </c>
      <c r="G9" s="3" t="n">
        <v>133</v>
      </c>
      <c r="H9" s="3" t="n"/>
      <c r="I9" s="3" t="n"/>
      <c r="J9" s="3" t="n"/>
      <c r="K9" s="3" t="n"/>
      <c r="L9" s="3" t="n"/>
      <c r="M9" s="3">
        <f>SUM(C9:L9)</f>
        <v/>
      </c>
    </row>
    <row r="10">
      <c r="A10" s="2" t="inlineStr">
        <is>
          <t>2026-10-25 07:00</t>
        </is>
      </c>
      <c r="B10" s="3" t="n">
        <v>6</v>
      </c>
      <c r="C10" s="3" t="n">
        <v>114</v>
      </c>
      <c r="D10" s="3" t="n">
        <v>76</v>
      </c>
      <c r="E10" s="3" t="n">
        <v>127</v>
      </c>
      <c r="F10" s="3" t="n">
        <v>172</v>
      </c>
      <c r="G10" s="3" t="n">
        <v>133</v>
      </c>
      <c r="H10" s="3" t="n"/>
      <c r="I10" s="3" t="n"/>
      <c r="J10" s="3" t="n"/>
      <c r="K10" s="3" t="n"/>
      <c r="L10" s="3" t="n"/>
      <c r="M10" s="3">
        <f>SUM(C10:L10)</f>
        <v/>
      </c>
    </row>
    <row r="11">
      <c r="A11" s="2" t="inlineStr">
        <is>
          <t>2026-10-25 08:00</t>
        </is>
      </c>
      <c r="B11" s="3" t="n">
        <v>6</v>
      </c>
      <c r="C11" s="3" t="n">
        <v>114</v>
      </c>
      <c r="D11" s="3" t="n">
        <v>76</v>
      </c>
      <c r="E11" s="3" t="n">
        <v>127</v>
      </c>
      <c r="F11" s="3" t="n">
        <v>180</v>
      </c>
      <c r="G11" s="3" t="n">
        <v>133</v>
      </c>
      <c r="H11" s="3" t="n"/>
      <c r="I11" s="3" t="n"/>
      <c r="J11" s="3" t="n"/>
      <c r="K11" s="3" t="n"/>
      <c r="L11" s="3" t="n"/>
      <c r="M11" s="3">
        <f>SUM(C11:L11)</f>
        <v/>
      </c>
    </row>
    <row r="12">
      <c r="A12" s="2" t="inlineStr">
        <is>
          <t>2026-10-25 09:00</t>
        </is>
      </c>
      <c r="B12" s="3" t="n">
        <v>6</v>
      </c>
      <c r="C12" s="3" t="n">
        <v>114</v>
      </c>
      <c r="D12" s="3" t="n">
        <v>76</v>
      </c>
      <c r="E12" s="3" t="n">
        <v>127</v>
      </c>
      <c r="F12" s="3" t="n">
        <v>188</v>
      </c>
      <c r="G12" s="3" t="n">
        <v>134</v>
      </c>
      <c r="H12" s="3" t="n"/>
      <c r="I12" s="3" t="n"/>
      <c r="J12" s="3" t="n"/>
      <c r="K12" s="3" t="n"/>
      <c r="L12" s="3" t="n"/>
      <c r="M12" s="3">
        <f>SUM(C12:L12)</f>
        <v/>
      </c>
    </row>
    <row r="13">
      <c r="A13" s="2" t="inlineStr">
        <is>
          <t>2026-10-25 10:00</t>
        </is>
      </c>
      <c r="B13" s="3" t="n">
        <v>6</v>
      </c>
      <c r="C13" s="3" t="n">
        <v>114</v>
      </c>
      <c r="D13" s="3" t="n">
        <v>76</v>
      </c>
      <c r="E13" s="3" t="n">
        <v>130</v>
      </c>
      <c r="F13" s="3" t="n">
        <v>199</v>
      </c>
      <c r="G13" s="3" t="n">
        <v>134</v>
      </c>
      <c r="H13" s="3" t="n"/>
      <c r="I13" s="3" t="n"/>
      <c r="J13" s="3" t="n"/>
      <c r="K13" s="3" t="n"/>
      <c r="L13" s="3" t="n"/>
      <c r="M13" s="3">
        <f>SUM(C13:L13)</f>
        <v/>
      </c>
    </row>
    <row r="14">
      <c r="A14" s="2" t="inlineStr">
        <is>
          <t>2026-10-25 11:00</t>
        </is>
      </c>
      <c r="B14" s="3" t="n">
        <v>6</v>
      </c>
      <c r="C14" s="3" t="n">
        <v>114</v>
      </c>
      <c r="D14" s="3" t="n">
        <v>76</v>
      </c>
      <c r="E14" s="3" t="n">
        <v>131</v>
      </c>
      <c r="F14" s="3" t="n">
        <v>204</v>
      </c>
      <c r="G14" s="3" t="n">
        <v>134</v>
      </c>
      <c r="H14" s="3" t="n"/>
      <c r="I14" s="3" t="n"/>
      <c r="J14" s="3" t="n"/>
      <c r="K14" s="3" t="n"/>
      <c r="L14" s="3" t="n"/>
      <c r="M14" s="3">
        <f>SUM(C14:L14)</f>
        <v/>
      </c>
    </row>
    <row r="15">
      <c r="A15" s="2" t="inlineStr">
        <is>
          <t>2026-10-25 12:00</t>
        </is>
      </c>
      <c r="B15" s="3" t="n">
        <v>6</v>
      </c>
      <c r="C15" s="3" t="n">
        <v>114</v>
      </c>
      <c r="D15" s="3" t="n">
        <v>76</v>
      </c>
      <c r="E15" s="3" t="n">
        <v>133</v>
      </c>
      <c r="F15" s="3" t="n">
        <v>219</v>
      </c>
      <c r="G15" s="3" t="n">
        <v>134</v>
      </c>
      <c r="H15" s="3" t="n"/>
      <c r="I15" s="3" t="n"/>
      <c r="J15" s="3" t="n"/>
      <c r="K15" s="3" t="n"/>
      <c r="L15" s="3" t="n"/>
      <c r="M15" s="3">
        <f>SUM(C15:L15)</f>
        <v/>
      </c>
    </row>
    <row r="16">
      <c r="A16" s="2" t="inlineStr">
        <is>
          <t>2026-10-25 13:00</t>
        </is>
      </c>
      <c r="B16" s="3" t="n">
        <v>6</v>
      </c>
      <c r="C16" s="3" t="n">
        <v>114</v>
      </c>
      <c r="D16" s="3" t="n">
        <v>76</v>
      </c>
      <c r="E16" s="3" t="n">
        <v>133</v>
      </c>
      <c r="F16" s="3" t="n">
        <v>228</v>
      </c>
      <c r="G16" s="3" t="n">
        <v>134</v>
      </c>
      <c r="H16" s="3" t="n"/>
      <c r="I16" s="3" t="n"/>
      <c r="J16" s="3" t="n"/>
      <c r="K16" s="3" t="n"/>
      <c r="L16" s="3" t="n"/>
      <c r="M16" s="3">
        <f>SUM(C16:L16)</f>
        <v/>
      </c>
    </row>
    <row r="17">
      <c r="A17" s="2" t="inlineStr">
        <is>
          <t>2026-10-25 14:00</t>
        </is>
      </c>
      <c r="B17" s="3" t="n">
        <v>6</v>
      </c>
      <c r="C17" s="3" t="n">
        <v>114</v>
      </c>
      <c r="D17" s="3" t="n">
        <v>76</v>
      </c>
      <c r="E17" s="3" t="n">
        <v>133</v>
      </c>
      <c r="F17" s="3" t="n">
        <v>235</v>
      </c>
      <c r="G17" s="3" t="n">
        <v>134</v>
      </c>
      <c r="H17" s="3" t="n"/>
      <c r="I17" s="3" t="n"/>
      <c r="J17" s="3" t="n"/>
      <c r="K17" s="3" t="n"/>
      <c r="L17" s="3" t="n"/>
      <c r="M17" s="3">
        <f>SUM(C17:L17)</f>
        <v/>
      </c>
    </row>
    <row r="18">
      <c r="A18" s="2" t="inlineStr">
        <is>
          <t>2026-10-25 15:00</t>
        </is>
      </c>
      <c r="B18" s="3" t="n">
        <v>6</v>
      </c>
      <c r="C18" s="3" t="n">
        <v>114</v>
      </c>
      <c r="D18" s="3" t="n">
        <v>76</v>
      </c>
      <c r="E18" s="3" t="n">
        <v>133</v>
      </c>
      <c r="F18" s="3" t="n">
        <v>240</v>
      </c>
      <c r="G18" s="3" t="n">
        <v>134</v>
      </c>
      <c r="H18" s="3" t="n">
        <v>0</v>
      </c>
      <c r="I18" s="3" t="n">
        <v>0</v>
      </c>
      <c r="J18" s="3" t="n"/>
      <c r="K18" s="3" t="n"/>
      <c r="L18" s="3" t="n"/>
      <c r="M18" s="3">
        <f>SUM(C18:L18)</f>
        <v/>
      </c>
    </row>
    <row r="19">
      <c r="A19" s="2" t="inlineStr">
        <is>
          <t>2026-10-25 16:00</t>
        </is>
      </c>
      <c r="B19" s="3" t="n">
        <v>7</v>
      </c>
      <c r="C19" s="3" t="n">
        <v>114</v>
      </c>
      <c r="D19" s="3" t="n">
        <v>76</v>
      </c>
      <c r="E19" s="3" t="n">
        <v>133</v>
      </c>
      <c r="F19" s="3" t="n">
        <v>242</v>
      </c>
      <c r="G19" s="3" t="n">
        <v>134</v>
      </c>
      <c r="H19" s="3" t="n">
        <v>24</v>
      </c>
      <c r="I19" s="3" t="n">
        <v>53</v>
      </c>
      <c r="J19" s="3" t="n"/>
      <c r="K19" s="3" t="n"/>
      <c r="L19" s="3" t="n"/>
      <c r="M19" s="3">
        <f>SUM(C19:L19)</f>
        <v/>
      </c>
    </row>
    <row r="20">
      <c r="A20" s="2" t="inlineStr">
        <is>
          <t>2026-10-25 17:00</t>
        </is>
      </c>
      <c r="B20" s="3" t="n">
        <v>7</v>
      </c>
      <c r="C20" s="3" t="n">
        <v>114</v>
      </c>
      <c r="D20" s="3" t="n">
        <v>76</v>
      </c>
      <c r="E20" s="3" t="n">
        <v>133</v>
      </c>
      <c r="F20" s="3" t="n">
        <v>242</v>
      </c>
      <c r="G20" s="3" t="n">
        <v>134</v>
      </c>
      <c r="H20" s="3" t="n">
        <v>26</v>
      </c>
      <c r="I20" s="3" t="n">
        <v>80</v>
      </c>
      <c r="J20" s="3" t="n"/>
      <c r="K20" s="3" t="n"/>
      <c r="L20" s="3" t="n"/>
      <c r="M20" s="3">
        <f>SUM(C20:L20)</f>
        <v/>
      </c>
    </row>
    <row r="21">
      <c r="A21" s="2" t="inlineStr">
        <is>
          <t>2026-10-25 18:00</t>
        </is>
      </c>
      <c r="B21" s="3" t="n">
        <v>7</v>
      </c>
      <c r="C21" s="3" t="n">
        <v>114</v>
      </c>
      <c r="D21" s="3" t="n">
        <v>76</v>
      </c>
      <c r="E21" s="3" t="n">
        <v>133</v>
      </c>
      <c r="F21" s="3" t="n">
        <v>242</v>
      </c>
      <c r="G21" s="3" t="n">
        <v>134</v>
      </c>
      <c r="H21" s="3" t="n">
        <v>35</v>
      </c>
      <c r="I21" s="3" t="n">
        <v>128</v>
      </c>
      <c r="J21" s="3" t="n">
        <v>0</v>
      </c>
      <c r="K21" s="3" t="n"/>
      <c r="L21" s="3" t="n"/>
      <c r="M21" s="3">
        <f>SUM(C21:L21)</f>
        <v/>
      </c>
    </row>
    <row r="22">
      <c r="A22" s="2" t="inlineStr">
        <is>
          <t>2026-10-25 19:00</t>
        </is>
      </c>
      <c r="B22" s="3" t="n">
        <v>7</v>
      </c>
      <c r="C22" s="3" t="n">
        <v>114</v>
      </c>
      <c r="D22" s="3" t="n">
        <v>76</v>
      </c>
      <c r="E22" s="3" t="n">
        <v>133</v>
      </c>
      <c r="F22" s="3" t="n">
        <v>243</v>
      </c>
      <c r="G22" s="3" t="n">
        <v>134</v>
      </c>
      <c r="H22" s="3" t="n">
        <v>35</v>
      </c>
      <c r="I22" s="3" t="n">
        <v>129</v>
      </c>
      <c r="J22" s="3" t="n">
        <v>43</v>
      </c>
      <c r="K22" s="3" t="n"/>
      <c r="L22" s="3" t="n"/>
      <c r="M22" s="3">
        <f>SUM(C22:L22)</f>
        <v/>
      </c>
    </row>
    <row r="23">
      <c r="A23" s="2" t="inlineStr">
        <is>
          <t>2026-10-25 20:00</t>
        </is>
      </c>
      <c r="B23" s="3" t="n">
        <v>7</v>
      </c>
      <c r="C23" s="3" t="n">
        <v>114</v>
      </c>
      <c r="D23" s="3" t="n">
        <v>76</v>
      </c>
      <c r="E23" s="3" t="n">
        <v>133</v>
      </c>
      <c r="F23" s="3" t="n">
        <v>243</v>
      </c>
      <c r="G23" s="3" t="n">
        <v>134</v>
      </c>
      <c r="H23" s="3" t="n">
        <v>41</v>
      </c>
      <c r="I23" s="3" t="n">
        <v>129</v>
      </c>
      <c r="J23" s="3" t="n">
        <v>64</v>
      </c>
      <c r="K23" s="3" t="n"/>
      <c r="L23" s="3" t="n"/>
      <c r="M23" s="3">
        <f>SUM(C23:L23)</f>
        <v/>
      </c>
    </row>
    <row r="24">
      <c r="A24" s="2" t="inlineStr">
        <is>
          <t>2026-10-25 21:00</t>
        </is>
      </c>
      <c r="B24" s="3" t="n">
        <v>7</v>
      </c>
      <c r="C24" s="3" t="n">
        <v>114</v>
      </c>
      <c r="D24" s="3" t="n">
        <v>76</v>
      </c>
      <c r="E24" s="3" t="n">
        <v>133</v>
      </c>
      <c r="F24" s="3" t="n">
        <v>244</v>
      </c>
      <c r="G24" s="3" t="n">
        <v>134</v>
      </c>
      <c r="H24" s="3" t="n">
        <v>62</v>
      </c>
      <c r="I24" s="3" t="n">
        <v>129</v>
      </c>
      <c r="J24" s="3" t="n">
        <v>99</v>
      </c>
      <c r="K24" s="3" t="n"/>
      <c r="L24" s="3" t="n"/>
      <c r="M24" s="3">
        <f>SUM(C24:L24)</f>
        <v/>
      </c>
    </row>
    <row r="25">
      <c r="A25" s="2" t="inlineStr">
        <is>
          <t>2026-10-25 22:00</t>
        </is>
      </c>
      <c r="B25" s="3" t="n">
        <v>7</v>
      </c>
      <c r="C25" s="3" t="n">
        <v>114</v>
      </c>
      <c r="D25" s="3" t="n">
        <v>76</v>
      </c>
      <c r="E25" s="3" t="n">
        <v>133</v>
      </c>
      <c r="F25" s="3" t="n">
        <v>244</v>
      </c>
      <c r="G25" s="3" t="n">
        <v>134</v>
      </c>
      <c r="H25" s="3" t="n">
        <v>88</v>
      </c>
      <c r="I25" s="3" t="n">
        <v>129</v>
      </c>
      <c r="J25" s="3" t="n">
        <v>111</v>
      </c>
      <c r="K25" s="3" t="n"/>
      <c r="L25" s="3" t="n"/>
      <c r="M25" s="3">
        <f>SUM(C25:L25)</f>
        <v/>
      </c>
    </row>
    <row r="26">
      <c r="A26" s="2" t="inlineStr">
        <is>
          <t>2026-10-26 06:00</t>
        </is>
      </c>
      <c r="B26" s="3" t="n">
        <v>7</v>
      </c>
      <c r="C26" s="3" t="n">
        <v>114</v>
      </c>
      <c r="D26" s="3" t="n">
        <v>76</v>
      </c>
      <c r="E26" s="3" t="n">
        <v>133</v>
      </c>
      <c r="F26" s="3" t="n">
        <v>244</v>
      </c>
      <c r="G26" s="3" t="n">
        <v>134</v>
      </c>
      <c r="H26" s="3" t="n">
        <v>113</v>
      </c>
      <c r="I26" s="3" t="n">
        <v>129</v>
      </c>
      <c r="J26" s="3" t="n">
        <v>115</v>
      </c>
      <c r="K26" s="3" t="n"/>
      <c r="L26" s="3" t="n"/>
      <c r="M26" s="3">
        <f>SUM(C26:L26)</f>
        <v/>
      </c>
    </row>
    <row r="27">
      <c r="A27" s="2" t="inlineStr">
        <is>
          <t>2026-10-26 07:00</t>
        </is>
      </c>
      <c r="B27" s="3" t="n">
        <v>7</v>
      </c>
      <c r="C27" s="3" t="n">
        <v>114</v>
      </c>
      <c r="D27" s="3" t="n">
        <v>76</v>
      </c>
      <c r="E27" s="3" t="n">
        <v>133</v>
      </c>
      <c r="F27" s="3" t="n">
        <v>244</v>
      </c>
      <c r="G27" s="3" t="n">
        <v>134</v>
      </c>
      <c r="H27" s="3" t="n">
        <v>113</v>
      </c>
      <c r="I27" s="3" t="n">
        <v>129</v>
      </c>
      <c r="J27" s="3" t="n">
        <v>115</v>
      </c>
      <c r="K27" s="3" t="n"/>
      <c r="L27" s="3" t="n"/>
      <c r="M27" s="3">
        <f>SUM(C27:L27)</f>
        <v/>
      </c>
    </row>
    <row r="28">
      <c r="A28" s="2" t="inlineStr">
        <is>
          <t>2026-10-26 08:00</t>
        </is>
      </c>
      <c r="B28" s="3" t="n">
        <v>7</v>
      </c>
      <c r="C28" s="3" t="n">
        <v>114</v>
      </c>
      <c r="D28" s="3" t="n">
        <v>76</v>
      </c>
      <c r="E28" s="3" t="n">
        <v>133</v>
      </c>
      <c r="F28" s="3" t="n">
        <v>244</v>
      </c>
      <c r="G28" s="3" t="n">
        <v>134</v>
      </c>
      <c r="H28" s="3" t="n">
        <v>113</v>
      </c>
      <c r="I28" s="3" t="n">
        <v>129</v>
      </c>
      <c r="J28" s="3" t="n">
        <v>115</v>
      </c>
      <c r="K28" s="3" t="n"/>
      <c r="L28" s="3" t="n"/>
      <c r="M28" s="3">
        <f>SUM(C28:L28)</f>
        <v/>
      </c>
    </row>
    <row r="29">
      <c r="A29" s="2" t="inlineStr">
        <is>
          <t>2026-10-26 09:00</t>
        </is>
      </c>
      <c r="B29" s="3" t="n">
        <v>7</v>
      </c>
      <c r="C29" s="3" t="n">
        <v>114</v>
      </c>
      <c r="D29" s="3" t="n">
        <v>76</v>
      </c>
      <c r="E29" s="3" t="n">
        <v>133</v>
      </c>
      <c r="F29" s="3" t="n">
        <v>244</v>
      </c>
      <c r="G29" s="3" t="n">
        <v>134</v>
      </c>
      <c r="H29" s="3" t="n">
        <v>114</v>
      </c>
      <c r="I29" s="3" t="n">
        <v>130</v>
      </c>
      <c r="J29" s="3" t="n">
        <v>116</v>
      </c>
      <c r="K29" s="3" t="n"/>
      <c r="L29" s="3" t="n"/>
      <c r="M29" s="3">
        <f>SUM(C29:L29)</f>
        <v/>
      </c>
    </row>
    <row r="30">
      <c r="A30" s="2" t="inlineStr">
        <is>
          <t>2026-10-26 10:00</t>
        </is>
      </c>
      <c r="B30" s="3" t="n">
        <v>7</v>
      </c>
      <c r="C30" s="3" t="n">
        <v>114</v>
      </c>
      <c r="D30" s="3" t="n">
        <v>76</v>
      </c>
      <c r="E30" s="3" t="n">
        <v>133</v>
      </c>
      <c r="F30" s="3" t="n">
        <v>244</v>
      </c>
      <c r="G30" s="3" t="n">
        <v>134</v>
      </c>
      <c r="H30" s="3" t="n">
        <v>114</v>
      </c>
      <c r="I30" s="3" t="n">
        <v>130</v>
      </c>
      <c r="J30" s="3" t="n">
        <v>116</v>
      </c>
      <c r="K30" s="3" t="n"/>
      <c r="L30" s="3" t="n"/>
      <c r="M30" s="3">
        <f>SUM(C30:L30)</f>
        <v/>
      </c>
    </row>
    <row r="31">
      <c r="A31" s="2" t="inlineStr">
        <is>
          <t>2026-10-26 11:00</t>
        </is>
      </c>
      <c r="B31" s="3" t="n">
        <v>7</v>
      </c>
      <c r="C31" s="3" t="n">
        <v>114</v>
      </c>
      <c r="D31" s="3" t="n">
        <v>76</v>
      </c>
      <c r="E31" s="3" t="n">
        <v>133</v>
      </c>
      <c r="F31" s="3" t="n">
        <v>244</v>
      </c>
      <c r="G31" s="3" t="n">
        <v>134</v>
      </c>
      <c r="H31" s="3" t="n">
        <v>114</v>
      </c>
      <c r="I31" s="3" t="n">
        <v>130</v>
      </c>
      <c r="J31" s="3" t="n">
        <v>116</v>
      </c>
      <c r="K31" s="3" t="n"/>
      <c r="L31" s="3" t="n"/>
      <c r="M31" s="3">
        <f>SUM(C31:L31)</f>
        <v/>
      </c>
    </row>
    <row r="32">
      <c r="A32" s="2" t="inlineStr">
        <is>
          <t>2026-10-26 12:00</t>
        </is>
      </c>
      <c r="B32" s="3" t="n">
        <v>7</v>
      </c>
      <c r="C32" s="3" t="n">
        <v>114</v>
      </c>
      <c r="D32" s="3" t="n">
        <v>76</v>
      </c>
      <c r="E32" s="3" t="n">
        <v>133</v>
      </c>
      <c r="F32" s="3" t="n">
        <v>244</v>
      </c>
      <c r="G32" s="3" t="n">
        <v>134</v>
      </c>
      <c r="H32" s="3" t="n">
        <v>114</v>
      </c>
      <c r="I32" s="3" t="n">
        <v>130</v>
      </c>
      <c r="J32" s="3" t="n">
        <v>116</v>
      </c>
      <c r="K32" s="3" t="n"/>
      <c r="L32" s="3" t="n"/>
      <c r="M32" s="3">
        <f>SUM(C32:L32)</f>
        <v/>
      </c>
    </row>
    <row r="33">
      <c r="A33" s="2" t="inlineStr">
        <is>
          <t>2026-10-26 14:00</t>
        </is>
      </c>
      <c r="B33" s="3" t="n">
        <v>7</v>
      </c>
      <c r="C33" s="3" t="n">
        <v>114</v>
      </c>
      <c r="D33" s="3" t="n">
        <v>76</v>
      </c>
      <c r="E33" s="3" t="n">
        <v>133</v>
      </c>
      <c r="F33" s="3" t="n">
        <v>244</v>
      </c>
      <c r="G33" s="3" t="n">
        <v>134</v>
      </c>
      <c r="H33" s="3" t="n">
        <v>114</v>
      </c>
      <c r="I33" s="3" t="n">
        <v>130</v>
      </c>
      <c r="J33" s="3" t="n">
        <v>117</v>
      </c>
      <c r="K33" s="3" t="n"/>
      <c r="L33" s="3" t="n"/>
      <c r="M33" s="3">
        <f>SUM(C33:L33)</f>
        <v/>
      </c>
    </row>
    <row r="34">
      <c r="A34" s="2" t="inlineStr">
        <is>
          <t>2026-10-26 16:00</t>
        </is>
      </c>
      <c r="B34" s="3" t="n">
        <v>7</v>
      </c>
      <c r="C34" s="3" t="n">
        <v>114</v>
      </c>
      <c r="D34" s="3" t="n">
        <v>76</v>
      </c>
      <c r="E34" s="3" t="n">
        <v>133</v>
      </c>
      <c r="F34" s="3" t="n">
        <v>244</v>
      </c>
      <c r="G34" s="3" t="n">
        <v>134</v>
      </c>
      <c r="H34" s="3" t="n">
        <v>114</v>
      </c>
      <c r="I34" s="3" t="n">
        <v>130</v>
      </c>
      <c r="J34" s="3" t="n">
        <v>117</v>
      </c>
      <c r="K34" s="3" t="n"/>
      <c r="L34" s="3" t="n"/>
      <c r="M34" s="3">
        <f>SUM(C34:L34)</f>
        <v/>
      </c>
    </row>
    <row r="35">
      <c r="A35" s="2" t="inlineStr">
        <is>
          <t>2026-10-26 17:00</t>
        </is>
      </c>
      <c r="B35" s="3" t="n">
        <v>7</v>
      </c>
      <c r="C35" s="3" t="n">
        <v>114</v>
      </c>
      <c r="D35" s="3" t="n">
        <v>76</v>
      </c>
      <c r="E35" s="3" t="n">
        <v>133</v>
      </c>
      <c r="F35" s="3" t="n">
        <v>244</v>
      </c>
      <c r="G35" s="3" t="n">
        <v>134</v>
      </c>
      <c r="H35" s="3" t="n">
        <v>114</v>
      </c>
      <c r="I35" s="3" t="n">
        <v>130</v>
      </c>
      <c r="J35" s="3" t="n">
        <v>117</v>
      </c>
      <c r="K35" s="3" t="n"/>
      <c r="L35" s="3" t="n"/>
      <c r="M35" s="3">
        <f>SUM(C35:L35)</f>
        <v/>
      </c>
    </row>
    <row r="36">
      <c r="A36" s="2" t="inlineStr">
        <is>
          <t>2026-10-26 18:00</t>
        </is>
      </c>
      <c r="B36" s="3" t="n">
        <v>7</v>
      </c>
      <c r="C36" s="3" t="n">
        <v>114</v>
      </c>
      <c r="D36" s="3" t="n">
        <v>76</v>
      </c>
      <c r="E36" s="3" t="n">
        <v>133</v>
      </c>
      <c r="F36" s="3" t="n">
        <v>244</v>
      </c>
      <c r="G36" s="3" t="n">
        <v>134</v>
      </c>
      <c r="H36" s="3" t="n">
        <v>114</v>
      </c>
      <c r="I36" s="3" t="n">
        <v>130</v>
      </c>
      <c r="J36" s="3" t="n">
        <v>117</v>
      </c>
      <c r="K36" s="3" t="n"/>
      <c r="L36" s="3" t="n"/>
      <c r="M36" s="3">
        <f>SUM(C36:L36)</f>
        <v/>
      </c>
    </row>
    <row r="37">
      <c r="A37" s="2" t="inlineStr">
        <is>
          <t>2026-10-26 19:00</t>
        </is>
      </c>
      <c r="B37" s="3" t="n">
        <v>7</v>
      </c>
      <c r="C37" s="3" t="n">
        <v>114</v>
      </c>
      <c r="D37" s="3" t="n">
        <v>76</v>
      </c>
      <c r="E37" s="3" t="n">
        <v>133</v>
      </c>
      <c r="F37" s="3" t="n">
        <v>244</v>
      </c>
      <c r="G37" s="3" t="n">
        <v>134</v>
      </c>
      <c r="H37" s="3" t="n">
        <v>114</v>
      </c>
      <c r="I37" s="3" t="n">
        <v>130</v>
      </c>
      <c r="J37" s="3" t="n">
        <v>117</v>
      </c>
      <c r="K37" s="3" t="n"/>
      <c r="L37" s="3" t="n"/>
      <c r="M37" s="3">
        <f>SUM(C37:L37)</f>
        <v/>
      </c>
    </row>
    <row r="38">
      <c r="A38" s="2" t="inlineStr">
        <is>
          <t>2026-10-26 20:00</t>
        </is>
      </c>
      <c r="B38" s="3" t="n">
        <v>7</v>
      </c>
      <c r="C38" s="3" t="n">
        <v>114</v>
      </c>
      <c r="D38" s="3" t="n">
        <v>76</v>
      </c>
      <c r="E38" s="3" t="n">
        <v>133</v>
      </c>
      <c r="F38" s="3" t="n">
        <v>244</v>
      </c>
      <c r="G38" s="3" t="n">
        <v>134</v>
      </c>
      <c r="H38" s="3" t="n">
        <v>114</v>
      </c>
      <c r="I38" s="3" t="n">
        <v>130</v>
      </c>
      <c r="J38" s="3" t="n">
        <v>117</v>
      </c>
      <c r="K38" s="3" t="n"/>
      <c r="L38" s="3" t="n"/>
      <c r="M38" s="3">
        <f>SUM(C38:L38)</f>
        <v/>
      </c>
    </row>
    <row r="39">
      <c r="A39" s="2" t="inlineStr">
        <is>
          <t>2026-10-26 21:00</t>
        </is>
      </c>
      <c r="B39" s="3" t="n">
        <v>7</v>
      </c>
      <c r="C39" s="3" t="n">
        <v>114</v>
      </c>
      <c r="D39" s="3" t="n">
        <v>76</v>
      </c>
      <c r="E39" s="3" t="n">
        <v>133</v>
      </c>
      <c r="F39" s="3" t="n">
        <v>244</v>
      </c>
      <c r="G39" s="3" t="n">
        <v>134</v>
      </c>
      <c r="H39" s="3" t="n">
        <v>114</v>
      </c>
      <c r="I39" s="3" t="n">
        <v>130</v>
      </c>
      <c r="J39" s="3" t="n">
        <v>117</v>
      </c>
      <c r="K39" s="3" t="n"/>
      <c r="L39" s="3" t="n"/>
      <c r="M39" s="3">
        <f>SUM(C39:L39)</f>
        <v/>
      </c>
    </row>
    <row r="40">
      <c r="A40" s="2" t="inlineStr">
        <is>
          <t>2026-10-27 08:00</t>
        </is>
      </c>
      <c r="B40" s="3" t="n">
        <v>7</v>
      </c>
      <c r="C40" s="3" t="n">
        <v>114</v>
      </c>
      <c r="D40" s="3" t="n">
        <v>76</v>
      </c>
      <c r="E40" s="3" t="n">
        <v>133</v>
      </c>
      <c r="F40" s="3" t="n">
        <v>244</v>
      </c>
      <c r="G40" s="3" t="n">
        <v>134</v>
      </c>
      <c r="H40" s="3" t="n">
        <v>114</v>
      </c>
      <c r="I40" s="3" t="n">
        <v>130</v>
      </c>
      <c r="J40" s="3" t="n">
        <v>118</v>
      </c>
      <c r="K40" s="3" t="n">
        <v>0</v>
      </c>
      <c r="L40" s="3" t="n"/>
      <c r="M40" s="3">
        <f>SUM(C40:L40)</f>
        <v/>
      </c>
    </row>
    <row r="41">
      <c r="A41" s="2" t="inlineStr">
        <is>
          <t>2026-10-27 09:00</t>
        </is>
      </c>
      <c r="B41" s="3" t="n">
        <v>7</v>
      </c>
      <c r="C41" s="3" t="n">
        <v>114</v>
      </c>
      <c r="D41" s="3" t="n">
        <v>76</v>
      </c>
      <c r="E41" s="3" t="n">
        <v>133</v>
      </c>
      <c r="F41" s="3" t="n">
        <v>244</v>
      </c>
      <c r="G41" s="3" t="n">
        <v>134</v>
      </c>
      <c r="H41" s="3" t="n">
        <v>114</v>
      </c>
      <c r="I41" s="3" t="n">
        <v>130</v>
      </c>
      <c r="J41" s="3" t="n">
        <v>118</v>
      </c>
      <c r="K41" s="3" t="n">
        <v>46</v>
      </c>
      <c r="L41" s="3" t="n"/>
      <c r="M41" s="3">
        <f>SUM(C41:L41)</f>
        <v/>
      </c>
    </row>
    <row r="42">
      <c r="A42" s="2" t="inlineStr">
        <is>
          <t>2026-10-27 10:00</t>
        </is>
      </c>
      <c r="B42" s="3" t="n">
        <v>7</v>
      </c>
      <c r="C42" s="3" t="n">
        <v>114</v>
      </c>
      <c r="D42" s="3" t="n">
        <v>76</v>
      </c>
      <c r="E42" s="3" t="n">
        <v>133</v>
      </c>
      <c r="F42" s="3" t="n">
        <v>244</v>
      </c>
      <c r="G42" s="3" t="n">
        <v>134</v>
      </c>
      <c r="H42" s="3" t="n">
        <v>114</v>
      </c>
      <c r="I42" s="3" t="n">
        <v>130</v>
      </c>
      <c r="J42" s="3" t="n">
        <v>118</v>
      </c>
      <c r="K42" s="3" t="n">
        <v>77</v>
      </c>
      <c r="L42" s="3" t="n"/>
      <c r="M42" s="3">
        <f>SUM(C42:L42)</f>
        <v/>
      </c>
    </row>
    <row r="43">
      <c r="A43" s="2" t="inlineStr">
        <is>
          <t>2026-10-27 11:00</t>
        </is>
      </c>
      <c r="B43" s="3" t="n">
        <v>7</v>
      </c>
      <c r="C43" s="3" t="n">
        <v>114</v>
      </c>
      <c r="D43" s="3" t="n">
        <v>76</v>
      </c>
      <c r="E43" s="3" t="n">
        <v>133</v>
      </c>
      <c r="F43" s="3" t="n">
        <v>244</v>
      </c>
      <c r="G43" s="3" t="n">
        <v>134</v>
      </c>
      <c r="H43" s="3" t="n">
        <v>114</v>
      </c>
      <c r="I43" s="3" t="n">
        <v>130</v>
      </c>
      <c r="J43" s="3" t="n">
        <v>118</v>
      </c>
      <c r="K43" s="3" t="n">
        <v>83</v>
      </c>
      <c r="L43" s="3" t="n"/>
      <c r="M43" s="3">
        <f>SUM(C43:L43)</f>
        <v/>
      </c>
    </row>
    <row r="44">
      <c r="A44" s="2" t="inlineStr">
        <is>
          <t>2026-10-27 12:00</t>
        </is>
      </c>
      <c r="B44" s="3" t="n">
        <v>7</v>
      </c>
      <c r="C44" s="3" t="n">
        <v>114</v>
      </c>
      <c r="D44" s="3" t="n">
        <v>76</v>
      </c>
      <c r="E44" s="3" t="n">
        <v>133</v>
      </c>
      <c r="F44" s="3" t="n">
        <v>244</v>
      </c>
      <c r="G44" s="3" t="n">
        <v>134</v>
      </c>
      <c r="H44" s="3" t="n">
        <v>114</v>
      </c>
      <c r="I44" s="3" t="n">
        <v>130</v>
      </c>
      <c r="J44" s="3" t="n">
        <v>118</v>
      </c>
      <c r="K44" s="3" t="n">
        <v>89</v>
      </c>
      <c r="L44" s="3" t="n"/>
      <c r="M44" s="3">
        <f>SUM(C44:L44)</f>
        <v/>
      </c>
    </row>
    <row r="45">
      <c r="A45" s="2" t="inlineStr">
        <is>
          <t>2026-10-27 13:00</t>
        </is>
      </c>
      <c r="B45" s="3" t="n">
        <v>7</v>
      </c>
      <c r="C45" s="3" t="n">
        <v>114</v>
      </c>
      <c r="D45" s="3" t="n">
        <v>76</v>
      </c>
      <c r="E45" s="3" t="n">
        <v>133</v>
      </c>
      <c r="F45" s="3" t="n">
        <v>244</v>
      </c>
      <c r="G45" s="3" t="n">
        <v>134</v>
      </c>
      <c r="H45" s="3" t="n">
        <v>114</v>
      </c>
      <c r="I45" s="3" t="n">
        <v>130</v>
      </c>
      <c r="J45" s="3" t="n">
        <v>118</v>
      </c>
      <c r="K45" s="3" t="n">
        <v>91</v>
      </c>
      <c r="L45" s="3" t="n"/>
      <c r="M45" s="3">
        <f>SUM(C45:L45)</f>
        <v/>
      </c>
    </row>
    <row r="46">
      <c r="A46" s="2" t="inlineStr">
        <is>
          <t>2026-10-27 14:00</t>
        </is>
      </c>
      <c r="B46" s="3" t="n">
        <v>7</v>
      </c>
      <c r="C46" s="3" t="n">
        <v>114</v>
      </c>
      <c r="D46" s="3" t="n">
        <v>76</v>
      </c>
      <c r="E46" s="3" t="n">
        <v>133</v>
      </c>
      <c r="F46" s="3" t="n">
        <v>244</v>
      </c>
      <c r="G46" s="3" t="n">
        <v>134</v>
      </c>
      <c r="H46" s="3" t="n">
        <v>114</v>
      </c>
      <c r="I46" s="3" t="n">
        <v>130</v>
      </c>
      <c r="J46" s="3" t="n">
        <v>118</v>
      </c>
      <c r="K46" s="3" t="n">
        <v>92</v>
      </c>
      <c r="L46" s="3" t="n"/>
      <c r="M46" s="3">
        <f>SUM(C46:L46)</f>
        <v/>
      </c>
    </row>
    <row r="47">
      <c r="A47" s="2" t="inlineStr">
        <is>
          <t>2026-10-27 15:00</t>
        </is>
      </c>
      <c r="B47" s="3" t="n">
        <v>7</v>
      </c>
      <c r="C47" s="3" t="n">
        <v>114</v>
      </c>
      <c r="D47" s="3" t="n">
        <v>76</v>
      </c>
      <c r="E47" s="3" t="n">
        <v>133</v>
      </c>
      <c r="F47" s="3" t="n">
        <v>244</v>
      </c>
      <c r="G47" s="3" t="n">
        <v>134</v>
      </c>
      <c r="H47" s="3" t="n">
        <v>114</v>
      </c>
      <c r="I47" s="3" t="n">
        <v>130</v>
      </c>
      <c r="J47" s="3" t="n">
        <v>118</v>
      </c>
      <c r="K47" s="3" t="n">
        <v>92</v>
      </c>
      <c r="L47" s="3" t="n"/>
      <c r="M47" s="3">
        <f>SUM(C47:L47)</f>
        <v/>
      </c>
    </row>
    <row r="48">
      <c r="A48" s="2" t="inlineStr">
        <is>
          <t>2026-10-27 16:00</t>
        </is>
      </c>
      <c r="B48" s="3" t="n">
        <v>7</v>
      </c>
      <c r="C48" s="3" t="n">
        <v>114</v>
      </c>
      <c r="D48" s="3" t="n">
        <v>76</v>
      </c>
      <c r="E48" s="3" t="n">
        <v>133</v>
      </c>
      <c r="F48" s="3" t="n">
        <v>244</v>
      </c>
      <c r="G48" s="3" t="n">
        <v>134</v>
      </c>
      <c r="H48" s="3" t="n">
        <v>114</v>
      </c>
      <c r="I48" s="3" t="n">
        <v>130</v>
      </c>
      <c r="J48" s="3" t="n">
        <v>118</v>
      </c>
      <c r="K48" s="3" t="n">
        <v>92</v>
      </c>
      <c r="L48" s="3" t="n"/>
      <c r="M48" s="3">
        <f>SUM(C48:L48)</f>
        <v/>
      </c>
    </row>
    <row r="49">
      <c r="A49" s="2" t="inlineStr">
        <is>
          <t>2026-10-27 17:00</t>
        </is>
      </c>
      <c r="B49" s="3" t="n">
        <v>7</v>
      </c>
      <c r="C49" s="3" t="n">
        <v>114</v>
      </c>
      <c r="D49" s="3" t="n">
        <v>76</v>
      </c>
      <c r="E49" s="3" t="n">
        <v>133</v>
      </c>
      <c r="F49" s="3" t="n">
        <v>244</v>
      </c>
      <c r="G49" s="3" t="n">
        <v>134</v>
      </c>
      <c r="H49" s="3" t="n">
        <v>114</v>
      </c>
      <c r="I49" s="3" t="n">
        <v>130</v>
      </c>
      <c r="J49" s="3" t="n">
        <v>118</v>
      </c>
      <c r="K49" s="3" t="n">
        <v>94</v>
      </c>
      <c r="L49" s="3" t="n"/>
      <c r="M49" s="3">
        <f>SUM(C49:L49)</f>
        <v/>
      </c>
    </row>
    <row r="50">
      <c r="A50" s="2" t="inlineStr">
        <is>
          <t>2026-10-27 18:00</t>
        </is>
      </c>
      <c r="B50" s="3" t="n">
        <v>7</v>
      </c>
      <c r="C50" s="3" t="n">
        <v>114</v>
      </c>
      <c r="D50" s="3" t="n">
        <v>76</v>
      </c>
      <c r="E50" s="3" t="n">
        <v>133</v>
      </c>
      <c r="F50" s="3" t="n">
        <v>244</v>
      </c>
      <c r="G50" s="3" t="n">
        <v>134</v>
      </c>
      <c r="H50" s="3" t="n">
        <v>114</v>
      </c>
      <c r="I50" s="3" t="n">
        <v>130</v>
      </c>
      <c r="J50" s="3" t="n">
        <v>118</v>
      </c>
      <c r="K50" s="3" t="n">
        <v>95</v>
      </c>
      <c r="L50" s="3" t="n"/>
      <c r="M50" s="3">
        <f>SUM(C50:L50)</f>
        <v/>
      </c>
    </row>
    <row r="51">
      <c r="A51" s="2" t="inlineStr">
        <is>
          <t>2026-10-27 19:00</t>
        </is>
      </c>
      <c r="B51" s="3" t="n">
        <v>7</v>
      </c>
      <c r="C51" s="3" t="n">
        <v>114</v>
      </c>
      <c r="D51" s="3" t="n">
        <v>76</v>
      </c>
      <c r="E51" s="3" t="n">
        <v>133</v>
      </c>
      <c r="F51" s="3" t="n">
        <v>244</v>
      </c>
      <c r="G51" s="3" t="n">
        <v>134</v>
      </c>
      <c r="H51" s="3" t="n">
        <v>114</v>
      </c>
      <c r="I51" s="3" t="n">
        <v>130</v>
      </c>
      <c r="J51" s="3" t="n">
        <v>118</v>
      </c>
      <c r="K51" s="3" t="n">
        <v>95</v>
      </c>
      <c r="L51" s="3" t="n"/>
      <c r="M51" s="3">
        <f>SUM(C51:L51)</f>
        <v/>
      </c>
    </row>
    <row r="52">
      <c r="A52" s="2" t="inlineStr">
        <is>
          <t>2026-10-27 20:00</t>
        </is>
      </c>
      <c r="B52" s="3" t="n">
        <v>7</v>
      </c>
      <c r="C52" s="3" t="n">
        <v>114</v>
      </c>
      <c r="D52" s="3" t="n">
        <v>76</v>
      </c>
      <c r="E52" s="3" t="n">
        <v>133</v>
      </c>
      <c r="F52" s="3" t="n">
        <v>244</v>
      </c>
      <c r="G52" s="3" t="n">
        <v>134</v>
      </c>
      <c r="H52" s="3" t="n">
        <v>114</v>
      </c>
      <c r="I52" s="3" t="n">
        <v>130</v>
      </c>
      <c r="J52" s="3" t="n">
        <v>118</v>
      </c>
      <c r="K52" s="3" t="n">
        <v>98</v>
      </c>
      <c r="L52" s="3" t="n"/>
      <c r="M52" s="3">
        <f>SUM(C52:L52)</f>
        <v/>
      </c>
    </row>
    <row r="53">
      <c r="A53" s="2" t="inlineStr">
        <is>
          <t>2026-10-27 21:00</t>
        </is>
      </c>
      <c r="B53" s="3" t="n">
        <v>7</v>
      </c>
      <c r="C53" s="3" t="n">
        <v>114</v>
      </c>
      <c r="D53" s="3" t="n">
        <v>76</v>
      </c>
      <c r="E53" s="3" t="n">
        <v>133</v>
      </c>
      <c r="F53" s="3" t="n">
        <v>244</v>
      </c>
      <c r="G53" s="3" t="n">
        <v>134</v>
      </c>
      <c r="H53" s="3" t="n">
        <v>114</v>
      </c>
      <c r="I53" s="3" t="n">
        <v>130</v>
      </c>
      <c r="J53" s="3" t="n">
        <v>118</v>
      </c>
      <c r="K53" s="3" t="n">
        <v>98</v>
      </c>
      <c r="L53" s="3" t="n"/>
      <c r="M53" s="3">
        <f>SUM(C53:L53)</f>
        <v/>
      </c>
    </row>
    <row r="54">
      <c r="A54" s="2" t="inlineStr">
        <is>
          <t>2026-10-27 22:00</t>
        </is>
      </c>
      <c r="B54" s="3" t="n">
        <v>7</v>
      </c>
      <c r="C54" s="3" t="n">
        <v>114</v>
      </c>
      <c r="D54" s="3" t="n">
        <v>76</v>
      </c>
      <c r="E54" s="3" t="n">
        <v>133</v>
      </c>
      <c r="F54" s="3" t="n">
        <v>244</v>
      </c>
      <c r="G54" s="3" t="n">
        <v>134</v>
      </c>
      <c r="H54" s="3" t="n">
        <v>114</v>
      </c>
      <c r="I54" s="3" t="n">
        <v>130</v>
      </c>
      <c r="J54" s="3" t="n">
        <v>118</v>
      </c>
      <c r="K54" s="3" t="n">
        <v>105</v>
      </c>
      <c r="L54" s="3" t="n"/>
      <c r="M54" s="3">
        <f>SUM(C54:L54)</f>
        <v/>
      </c>
    </row>
    <row r="55">
      <c r="A55" s="2" t="inlineStr">
        <is>
          <t>2026-10-27 23:00</t>
        </is>
      </c>
      <c r="B55" s="3" t="n">
        <v>7</v>
      </c>
      <c r="C55" s="3" t="n">
        <v>114</v>
      </c>
      <c r="D55" s="3" t="n">
        <v>76</v>
      </c>
      <c r="E55" s="3" t="n">
        <v>133</v>
      </c>
      <c r="F55" s="3" t="n">
        <v>244</v>
      </c>
      <c r="G55" s="3" t="n">
        <v>134</v>
      </c>
      <c r="H55" s="3" t="n">
        <v>114</v>
      </c>
      <c r="I55" s="3" t="n">
        <v>130</v>
      </c>
      <c r="J55" s="3" t="n">
        <v>118</v>
      </c>
      <c r="K55" s="3" t="n">
        <v>107</v>
      </c>
      <c r="L55" s="3" t="n"/>
      <c r="M55" s="3">
        <f>SUM(C55:L55)</f>
        <v/>
      </c>
    </row>
    <row r="56">
      <c r="A56" s="2" t="inlineStr">
        <is>
          <t>2026-10-28 06:00</t>
        </is>
      </c>
      <c r="B56" s="3" t="n">
        <v>7</v>
      </c>
      <c r="C56" s="3" t="n">
        <v>114</v>
      </c>
      <c r="D56" s="3" t="n">
        <v>76</v>
      </c>
      <c r="E56" s="3" t="n">
        <v>133</v>
      </c>
      <c r="F56" s="3" t="n">
        <v>244</v>
      </c>
      <c r="G56" s="3" t="n">
        <v>134</v>
      </c>
      <c r="H56" s="3" t="n">
        <v>114</v>
      </c>
      <c r="I56" s="3" t="n">
        <v>130</v>
      </c>
      <c r="J56" s="3" t="n">
        <v>118</v>
      </c>
      <c r="K56" s="3" t="n">
        <v>107</v>
      </c>
      <c r="L56" s="3" t="n"/>
      <c r="M56" s="3">
        <f>SUM(C56:L56)</f>
        <v/>
      </c>
    </row>
    <row r="57">
      <c r="A57" s="2" t="inlineStr">
        <is>
          <t>2026-10-28 07:00</t>
        </is>
      </c>
      <c r="B57" s="3" t="n">
        <v>7</v>
      </c>
      <c r="C57" s="3" t="n">
        <v>114</v>
      </c>
      <c r="D57" s="3" t="n">
        <v>76</v>
      </c>
      <c r="E57" s="3" t="n">
        <v>133</v>
      </c>
      <c r="F57" s="3" t="n">
        <v>244</v>
      </c>
      <c r="G57" s="3" t="n">
        <v>134</v>
      </c>
      <c r="H57" s="3" t="n">
        <v>114</v>
      </c>
      <c r="I57" s="3" t="n">
        <v>130</v>
      </c>
      <c r="J57" s="3" t="n">
        <v>118</v>
      </c>
      <c r="K57" s="3" t="n">
        <v>107</v>
      </c>
      <c r="L57" s="3" t="n"/>
      <c r="M57" s="3">
        <f>SUM(C57:L57)</f>
        <v/>
      </c>
    </row>
    <row r="58">
      <c r="A58" s="2" t="inlineStr">
        <is>
          <t>2026-10-28 08:00</t>
        </is>
      </c>
      <c r="B58" s="3" t="n">
        <v>7</v>
      </c>
      <c r="C58" s="3" t="n">
        <v>114</v>
      </c>
      <c r="D58" s="3" t="n">
        <v>76</v>
      </c>
      <c r="E58" s="3" t="n">
        <v>133</v>
      </c>
      <c r="F58" s="3" t="n">
        <v>244</v>
      </c>
      <c r="G58" s="3" t="n">
        <v>134</v>
      </c>
      <c r="H58" s="3" t="n">
        <v>114</v>
      </c>
      <c r="I58" s="3" t="n">
        <v>130</v>
      </c>
      <c r="J58" s="3" t="n">
        <v>118</v>
      </c>
      <c r="K58" s="3" t="n">
        <v>107</v>
      </c>
      <c r="L58" s="3" t="n"/>
      <c r="M58" s="3">
        <f>SUM(C58:L58)</f>
        <v/>
      </c>
    </row>
    <row r="59">
      <c r="A59" s="2" t="inlineStr">
        <is>
          <t>2026-10-28 09:00</t>
        </is>
      </c>
      <c r="B59" s="3" t="n">
        <v>7</v>
      </c>
      <c r="C59" s="3" t="n">
        <v>114</v>
      </c>
      <c r="D59" s="3" t="n">
        <v>76</v>
      </c>
      <c r="E59" s="3" t="n">
        <v>133</v>
      </c>
      <c r="F59" s="3" t="n">
        <v>244</v>
      </c>
      <c r="G59" s="3" t="n">
        <v>134</v>
      </c>
      <c r="H59" s="3" t="n">
        <v>114</v>
      </c>
      <c r="I59" s="3" t="n">
        <v>130</v>
      </c>
      <c r="J59" s="3" t="n">
        <v>118</v>
      </c>
      <c r="K59" s="3" t="n">
        <v>107</v>
      </c>
      <c r="L59" s="3" t="n"/>
      <c r="M59" s="3">
        <f>SUM(C59:L59)</f>
        <v/>
      </c>
    </row>
    <row r="60">
      <c r="A60" s="2" t="inlineStr">
        <is>
          <t>2026-10-28 10:00</t>
        </is>
      </c>
      <c r="B60" s="3" t="n">
        <v>7</v>
      </c>
      <c r="C60" s="3" t="n">
        <v>114</v>
      </c>
      <c r="D60" s="3" t="n">
        <v>76</v>
      </c>
      <c r="E60" s="3" t="n">
        <v>133</v>
      </c>
      <c r="F60" s="3" t="n">
        <v>244</v>
      </c>
      <c r="G60" s="3" t="n">
        <v>134</v>
      </c>
      <c r="H60" s="3" t="n">
        <v>114</v>
      </c>
      <c r="I60" s="3" t="n">
        <v>130</v>
      </c>
      <c r="J60" s="3" t="n">
        <v>118</v>
      </c>
      <c r="K60" s="3" t="n">
        <v>107</v>
      </c>
      <c r="L60" s="3" t="n"/>
      <c r="M60" s="3">
        <f>SUM(C60:L60)</f>
        <v/>
      </c>
    </row>
    <row r="61">
      <c r="A61" s="2" t="inlineStr">
        <is>
          <t>2026-10-28 11:00</t>
        </is>
      </c>
      <c r="B61" s="3" t="n">
        <v>7</v>
      </c>
      <c r="C61" s="3" t="n">
        <v>114</v>
      </c>
      <c r="D61" s="3" t="n">
        <v>76</v>
      </c>
      <c r="E61" s="3" t="n">
        <v>133</v>
      </c>
      <c r="F61" s="3" t="n">
        <v>244</v>
      </c>
      <c r="G61" s="3" t="n">
        <v>134</v>
      </c>
      <c r="H61" s="3" t="n">
        <v>114</v>
      </c>
      <c r="I61" s="3" t="n">
        <v>130</v>
      </c>
      <c r="J61" s="3" t="n">
        <v>118</v>
      </c>
      <c r="K61" s="3" t="n">
        <v>107</v>
      </c>
      <c r="L61" s="3" t="n"/>
      <c r="M61" s="3">
        <f>SUM(C61:L61)</f>
        <v/>
      </c>
    </row>
    <row r="62">
      <c r="A62" s="2" t="inlineStr">
        <is>
          <t>2026-10-28 12:00</t>
        </is>
      </c>
      <c r="B62" s="3" t="n">
        <v>7</v>
      </c>
      <c r="C62" s="3" t="n">
        <v>114</v>
      </c>
      <c r="D62" s="3" t="n">
        <v>76</v>
      </c>
      <c r="E62" s="3" t="n">
        <v>133</v>
      </c>
      <c r="F62" s="3" t="n">
        <v>244</v>
      </c>
      <c r="G62" s="3" t="n">
        <v>134</v>
      </c>
      <c r="H62" s="3" t="n">
        <v>114</v>
      </c>
      <c r="I62" s="3" t="n">
        <v>130</v>
      </c>
      <c r="J62" s="3" t="n">
        <v>118</v>
      </c>
      <c r="K62" s="3" t="n">
        <v>107</v>
      </c>
      <c r="L62" s="3" t="n"/>
      <c r="M62" s="3">
        <f>SUM(C62:L62)</f>
        <v/>
      </c>
    </row>
    <row r="63">
      <c r="A63" s="2" t="inlineStr">
        <is>
          <t>2026-10-28 13:00</t>
        </is>
      </c>
      <c r="B63" s="3" t="n">
        <v>7</v>
      </c>
      <c r="C63" s="3" t="n">
        <v>114</v>
      </c>
      <c r="D63" s="3" t="n">
        <v>76</v>
      </c>
      <c r="E63" s="3" t="n">
        <v>133</v>
      </c>
      <c r="F63" s="3" t="n">
        <v>244</v>
      </c>
      <c r="G63" s="3" t="n">
        <v>134</v>
      </c>
      <c r="H63" s="3" t="n">
        <v>114</v>
      </c>
      <c r="I63" s="3" t="n">
        <v>130</v>
      </c>
      <c r="J63" s="3" t="n">
        <v>118</v>
      </c>
      <c r="K63" s="3" t="n">
        <v>107</v>
      </c>
      <c r="L63" s="3" t="n"/>
      <c r="M63" s="3">
        <f>SUM(C63:L63)</f>
        <v/>
      </c>
    </row>
    <row r="64">
      <c r="A64" s="2" t="inlineStr">
        <is>
          <t>2026-10-28 14:00</t>
        </is>
      </c>
      <c r="B64" s="3" t="n">
        <v>7</v>
      </c>
      <c r="C64" s="3" t="n">
        <v>114</v>
      </c>
      <c r="D64" s="3" t="n">
        <v>76</v>
      </c>
      <c r="E64" s="3" t="n">
        <v>133</v>
      </c>
      <c r="F64" s="3" t="n">
        <v>244</v>
      </c>
      <c r="G64" s="3" t="n">
        <v>134</v>
      </c>
      <c r="H64" s="3" t="n">
        <v>114</v>
      </c>
      <c r="I64" s="3" t="n">
        <v>130</v>
      </c>
      <c r="J64" s="3" t="n">
        <v>118</v>
      </c>
      <c r="K64" s="3" t="n">
        <v>107</v>
      </c>
      <c r="L64" s="3" t="n"/>
      <c r="M64" s="3">
        <f>SUM(C64:L64)</f>
        <v/>
      </c>
    </row>
    <row r="65">
      <c r="A65" s="2" t="inlineStr">
        <is>
          <t>2026-10-28 15:00</t>
        </is>
      </c>
      <c r="B65" s="3" t="n">
        <v>7</v>
      </c>
      <c r="C65" s="3" t="n">
        <v>114</v>
      </c>
      <c r="D65" s="3" t="n">
        <v>76</v>
      </c>
      <c r="E65" s="3" t="n">
        <v>133</v>
      </c>
      <c r="F65" s="3" t="n">
        <v>244</v>
      </c>
      <c r="G65" s="3" t="n">
        <v>134</v>
      </c>
      <c r="H65" s="3" t="n">
        <v>114</v>
      </c>
      <c r="I65" s="3" t="n">
        <v>130</v>
      </c>
      <c r="J65" s="3" t="n">
        <v>118</v>
      </c>
      <c r="K65" s="3" t="n">
        <v>107</v>
      </c>
      <c r="L65" s="3" t="n"/>
      <c r="M65" s="3">
        <f>SUM(C65:L65)</f>
        <v/>
      </c>
    </row>
    <row r="66">
      <c r="A66" s="2" t="inlineStr">
        <is>
          <t>2026-10-28 16:00</t>
        </is>
      </c>
      <c r="B66" s="3" t="n">
        <v>7</v>
      </c>
      <c r="C66" s="3" t="n">
        <v>114</v>
      </c>
      <c r="D66" s="3" t="n">
        <v>76</v>
      </c>
      <c r="E66" s="3" t="n">
        <v>133</v>
      </c>
      <c r="F66" s="3" t="n">
        <v>244</v>
      </c>
      <c r="G66" s="3" t="n">
        <v>134</v>
      </c>
      <c r="H66" s="3" t="n">
        <v>114</v>
      </c>
      <c r="I66" s="3" t="n">
        <v>130</v>
      </c>
      <c r="J66" s="3" t="n">
        <v>118</v>
      </c>
      <c r="K66" s="3" t="n">
        <v>107</v>
      </c>
      <c r="L66" s="3" t="n"/>
      <c r="M66" s="3">
        <f>SUM(C66:L66)</f>
        <v/>
      </c>
    </row>
    <row r="67">
      <c r="A67" s="2" t="inlineStr">
        <is>
          <t>2026-10-28 17:00</t>
        </is>
      </c>
      <c r="B67" s="3" t="n">
        <v>7</v>
      </c>
      <c r="C67" s="3" t="n">
        <v>114</v>
      </c>
      <c r="D67" s="3" t="n">
        <v>76</v>
      </c>
      <c r="E67" s="3" t="n">
        <v>133</v>
      </c>
      <c r="F67" s="3" t="n">
        <v>244</v>
      </c>
      <c r="G67" s="3" t="n">
        <v>134</v>
      </c>
      <c r="H67" s="3" t="n">
        <v>114</v>
      </c>
      <c r="I67" s="3" t="n">
        <v>130</v>
      </c>
      <c r="J67" s="3" t="n">
        <v>118</v>
      </c>
      <c r="K67" s="3" t="n">
        <v>107</v>
      </c>
      <c r="L67" s="3" t="n"/>
      <c r="M67" s="3">
        <f>SUM(C67:L67)</f>
        <v/>
      </c>
    </row>
    <row r="68">
      <c r="A68" s="2" t="inlineStr">
        <is>
          <t>2026-10-28 18:00</t>
        </is>
      </c>
      <c r="B68" s="3" t="n">
        <v>7</v>
      </c>
      <c r="C68" s="3" t="n">
        <v>114</v>
      </c>
      <c r="D68" s="3" t="n">
        <v>76</v>
      </c>
      <c r="E68" s="3" t="n">
        <v>133</v>
      </c>
      <c r="F68" s="3" t="n">
        <v>244</v>
      </c>
      <c r="G68" s="3" t="n">
        <v>134</v>
      </c>
      <c r="H68" s="3" t="n">
        <v>114</v>
      </c>
      <c r="I68" s="3" t="n">
        <v>130</v>
      </c>
      <c r="J68" s="3" t="n">
        <v>118</v>
      </c>
      <c r="K68" s="3" t="n">
        <v>107</v>
      </c>
      <c r="L68" s="3" t="n"/>
      <c r="M68" s="3">
        <f>SUM(C68:L68)</f>
        <v/>
      </c>
    </row>
    <row r="69">
      <c r="A69" s="2" t="inlineStr">
        <is>
          <t>2026-10-28 19:00</t>
        </is>
      </c>
      <c r="B69" s="3" t="n">
        <v>7</v>
      </c>
      <c r="C69" s="3" t="n">
        <v>114</v>
      </c>
      <c r="D69" s="3" t="n">
        <v>76</v>
      </c>
      <c r="E69" s="3" t="n">
        <v>133</v>
      </c>
      <c r="F69" s="3" t="n">
        <v>244</v>
      </c>
      <c r="G69" s="3" t="n">
        <v>134</v>
      </c>
      <c r="H69" s="3" t="n">
        <v>114</v>
      </c>
      <c r="I69" s="3" t="n">
        <v>130</v>
      </c>
      <c r="J69" s="3" t="n">
        <v>118</v>
      </c>
      <c r="K69" s="3" t="n">
        <v>107</v>
      </c>
      <c r="L69" s="3" t="n"/>
      <c r="M69" s="3">
        <f>SUM(C69:L69)</f>
        <v/>
      </c>
    </row>
    <row r="70">
      <c r="A70" s="2" t="inlineStr">
        <is>
          <t>2026-10-28 20:00</t>
        </is>
      </c>
      <c r="B70" s="3" t="n">
        <v>7</v>
      </c>
      <c r="C70" s="3" t="n">
        <v>114</v>
      </c>
      <c r="D70" s="3" t="n">
        <v>76</v>
      </c>
      <c r="E70" s="3" t="n">
        <v>133</v>
      </c>
      <c r="F70" s="3" t="n">
        <v>244</v>
      </c>
      <c r="G70" s="3" t="n">
        <v>134</v>
      </c>
      <c r="H70" s="3" t="n">
        <v>114</v>
      </c>
      <c r="I70" s="3" t="n">
        <v>130</v>
      </c>
      <c r="J70" s="3" t="n">
        <v>118</v>
      </c>
      <c r="K70" s="3" t="n">
        <v>107</v>
      </c>
      <c r="L70" s="3" t="n"/>
      <c r="M70" s="3">
        <f>SUM(C70:L70)</f>
        <v/>
      </c>
    </row>
    <row r="71">
      <c r="A71" s="2" t="inlineStr">
        <is>
          <t>2026-10-28 21:00</t>
        </is>
      </c>
      <c r="B71" s="3" t="n">
        <v>7</v>
      </c>
      <c r="C71" s="3" t="n">
        <v>114</v>
      </c>
      <c r="D71" s="3" t="n">
        <v>76</v>
      </c>
      <c r="E71" s="3" t="n">
        <v>133</v>
      </c>
      <c r="F71" s="3" t="n">
        <v>244</v>
      </c>
      <c r="G71" s="3" t="n">
        <v>134</v>
      </c>
      <c r="H71" s="3" t="n">
        <v>114</v>
      </c>
      <c r="I71" s="3" t="n">
        <v>130</v>
      </c>
      <c r="J71" s="3" t="n">
        <v>118</v>
      </c>
      <c r="K71" s="3" t="n">
        <v>107</v>
      </c>
      <c r="L71" s="3" t="n"/>
      <c r="M71" s="3">
        <f>SUM(C71:L71)</f>
        <v/>
      </c>
    </row>
    <row r="72">
      <c r="A72" s="2" t="inlineStr">
        <is>
          <t>2026-10-28 22:00</t>
        </is>
      </c>
      <c r="B72" s="3" t="n">
        <v>7</v>
      </c>
      <c r="C72" s="3" t="n">
        <v>114</v>
      </c>
      <c r="D72" s="3" t="n">
        <v>76</v>
      </c>
      <c r="E72" s="3" t="n">
        <v>133</v>
      </c>
      <c r="F72" s="3" t="n">
        <v>244</v>
      </c>
      <c r="G72" s="3" t="n">
        <v>134</v>
      </c>
      <c r="H72" s="3" t="n">
        <v>114</v>
      </c>
      <c r="I72" s="3" t="n">
        <v>130</v>
      </c>
      <c r="J72" s="3" t="n">
        <v>118</v>
      </c>
      <c r="K72" s="3" t="n">
        <v>107</v>
      </c>
      <c r="L72" s="3" t="n"/>
      <c r="M72" s="3">
        <f>SUM(C72:L72)</f>
        <v/>
      </c>
    </row>
    <row r="73">
      <c r="A73" s="2" t="inlineStr">
        <is>
          <t>2026-10-29 06:00</t>
        </is>
      </c>
      <c r="B73" s="3" t="n">
        <v>7</v>
      </c>
      <c r="C73" s="3" t="n">
        <v>114</v>
      </c>
      <c r="D73" s="3" t="n">
        <v>76</v>
      </c>
      <c r="E73" s="3" t="n">
        <v>133</v>
      </c>
      <c r="F73" s="3" t="n">
        <v>244</v>
      </c>
      <c r="G73" s="3" t="n">
        <v>134</v>
      </c>
      <c r="H73" s="3" t="n">
        <v>114</v>
      </c>
      <c r="I73" s="3" t="n">
        <v>130</v>
      </c>
      <c r="J73" s="3" t="n">
        <v>118</v>
      </c>
      <c r="K73" s="3" t="n">
        <v>107</v>
      </c>
      <c r="L73" s="3" t="n"/>
      <c r="M73" s="3">
        <f>SUM(C73:L73)</f>
        <v/>
      </c>
    </row>
    <row r="74">
      <c r="A74" s="2" t="inlineStr">
        <is>
          <t>2026-10-29 07:00</t>
        </is>
      </c>
      <c r="B74" s="3" t="n">
        <v>7</v>
      </c>
      <c r="C74" s="3" t="n">
        <v>114</v>
      </c>
      <c r="D74" s="3" t="n">
        <v>76</v>
      </c>
      <c r="E74" s="3" t="n">
        <v>133</v>
      </c>
      <c r="F74" s="3" t="n">
        <v>244</v>
      </c>
      <c r="G74" s="3" t="n">
        <v>134</v>
      </c>
      <c r="H74" s="3" t="n">
        <v>114</v>
      </c>
      <c r="I74" s="3" t="n">
        <v>130</v>
      </c>
      <c r="J74" s="3" t="n">
        <v>118</v>
      </c>
      <c r="K74" s="3" t="n">
        <v>107</v>
      </c>
      <c r="L74" s="3" t="n"/>
      <c r="M74" s="3">
        <f>SUM(C74:L74)</f>
        <v/>
      </c>
    </row>
    <row r="75">
      <c r="A75" s="2" t="inlineStr">
        <is>
          <t>2026-10-29 08:00</t>
        </is>
      </c>
      <c r="B75" s="3" t="n">
        <v>7</v>
      </c>
      <c r="C75" s="3" t="n">
        <v>114</v>
      </c>
      <c r="D75" s="3" t="n">
        <v>76</v>
      </c>
      <c r="E75" s="3" t="n">
        <v>133</v>
      </c>
      <c r="F75" s="3" t="n">
        <v>244</v>
      </c>
      <c r="G75" s="3" t="n">
        <v>134</v>
      </c>
      <c r="H75" s="3" t="n">
        <v>114</v>
      </c>
      <c r="I75" s="3" t="n">
        <v>130</v>
      </c>
      <c r="J75" s="3" t="n">
        <v>118</v>
      </c>
      <c r="K75" s="3" t="n">
        <v>107</v>
      </c>
      <c r="L75" s="3" t="n">
        <v>0</v>
      </c>
      <c r="M75" s="3">
        <f>SUM(C75:L75)</f>
        <v/>
      </c>
    </row>
    <row r="76">
      <c r="A76" s="2" t="inlineStr">
        <is>
          <t>2026-10-29 09:00</t>
        </is>
      </c>
      <c r="B76" s="3" t="n">
        <v>7</v>
      </c>
      <c r="C76" s="3" t="n">
        <v>114</v>
      </c>
      <c r="D76" s="3" t="n">
        <v>76</v>
      </c>
      <c r="E76" s="3" t="n">
        <v>133</v>
      </c>
      <c r="F76" s="3" t="n">
        <v>244</v>
      </c>
      <c r="G76" s="3" t="n">
        <v>134</v>
      </c>
      <c r="H76" s="3" t="n">
        <v>114</v>
      </c>
      <c r="I76" s="3" t="n">
        <v>130</v>
      </c>
      <c r="J76" s="3" t="n">
        <v>118</v>
      </c>
      <c r="K76" s="3" t="n">
        <v>107</v>
      </c>
      <c r="L76" s="3" t="n">
        <v>39</v>
      </c>
      <c r="M76" s="3">
        <f>SUM(C76:L76)</f>
        <v/>
      </c>
    </row>
    <row r="77">
      <c r="A77" s="2" t="inlineStr">
        <is>
          <t>2026-10-29 10:00</t>
        </is>
      </c>
      <c r="B77" s="3" t="n">
        <v>7</v>
      </c>
      <c r="C77" s="3" t="n">
        <v>114</v>
      </c>
      <c r="D77" s="3" t="n">
        <v>76</v>
      </c>
      <c r="E77" s="3" t="n">
        <v>133</v>
      </c>
      <c r="F77" s="3" t="n">
        <v>244</v>
      </c>
      <c r="G77" s="3" t="n">
        <v>134</v>
      </c>
      <c r="H77" s="3" t="n">
        <v>114</v>
      </c>
      <c r="I77" s="3" t="n">
        <v>130</v>
      </c>
      <c r="J77" s="3" t="n">
        <v>118</v>
      </c>
      <c r="K77" s="3" t="n">
        <v>107</v>
      </c>
      <c r="L77" s="3" t="n">
        <v>109</v>
      </c>
      <c r="M77" s="3">
        <f>SUM(C77:L77)</f>
        <v/>
      </c>
    </row>
    <row r="78">
      <c r="A78" s="2" t="inlineStr">
        <is>
          <t>2026-10-29 11:00</t>
        </is>
      </c>
      <c r="B78" s="3" t="n">
        <v>7</v>
      </c>
      <c r="C78" s="3" t="n">
        <v>114</v>
      </c>
      <c r="D78" s="3" t="n">
        <v>76</v>
      </c>
      <c r="E78" s="3" t="n">
        <v>133</v>
      </c>
      <c r="F78" s="3" t="n">
        <v>244</v>
      </c>
      <c r="G78" s="3" t="n">
        <v>134</v>
      </c>
      <c r="H78" s="3" t="n">
        <v>114</v>
      </c>
      <c r="I78" s="3" t="n">
        <v>130</v>
      </c>
      <c r="J78" s="3" t="n">
        <v>118</v>
      </c>
      <c r="K78" s="3" t="n">
        <v>107</v>
      </c>
      <c r="L78" s="3" t="n">
        <v>110</v>
      </c>
      <c r="M78" s="3">
        <f>SUM(C78:L78)</f>
        <v/>
      </c>
    </row>
    <row r="79">
      <c r="A79" s="2" t="inlineStr">
        <is>
          <t>2026-10-29 12:00</t>
        </is>
      </c>
      <c r="B79" s="3" t="n">
        <v>7</v>
      </c>
      <c r="C79" s="3" t="n">
        <v>114</v>
      </c>
      <c r="D79" s="3" t="n">
        <v>76</v>
      </c>
      <c r="E79" s="3" t="n">
        <v>133</v>
      </c>
      <c r="F79" s="3" t="n">
        <v>244</v>
      </c>
      <c r="G79" s="3" t="n">
        <v>134</v>
      </c>
      <c r="H79" s="3" t="n">
        <v>114</v>
      </c>
      <c r="I79" s="3" t="n">
        <v>130</v>
      </c>
      <c r="J79" s="3" t="n">
        <v>118</v>
      </c>
      <c r="K79" s="3" t="n">
        <v>107</v>
      </c>
      <c r="L79" s="3" t="n">
        <v>110</v>
      </c>
      <c r="M79" s="3">
        <f>SUM(C79:L79)</f>
        <v/>
      </c>
    </row>
    <row r="80">
      <c r="A80" s="2" t="inlineStr">
        <is>
          <t>2026-10-29 13:00</t>
        </is>
      </c>
      <c r="B80" s="3" t="n">
        <v>7</v>
      </c>
      <c r="C80" s="3" t="n">
        <v>114</v>
      </c>
      <c r="D80" s="3" t="n">
        <v>76</v>
      </c>
      <c r="E80" s="3" t="n">
        <v>133</v>
      </c>
      <c r="F80" s="3" t="n">
        <v>244</v>
      </c>
      <c r="G80" s="3" t="n">
        <v>134</v>
      </c>
      <c r="H80" s="3" t="n">
        <v>114</v>
      </c>
      <c r="I80" s="3" t="n">
        <v>130</v>
      </c>
      <c r="J80" s="3" t="n">
        <v>118</v>
      </c>
      <c r="K80" s="3" t="n">
        <v>107</v>
      </c>
      <c r="L80" s="3" t="n">
        <v>111</v>
      </c>
      <c r="M80" s="3">
        <f>SUM(C80:L80)</f>
        <v/>
      </c>
    </row>
    <row r="81">
      <c r="A81" s="2" t="inlineStr">
        <is>
          <t>2026-10-29 14:00</t>
        </is>
      </c>
      <c r="B81" s="3" t="n">
        <v>7</v>
      </c>
      <c r="C81" s="3" t="n">
        <v>114</v>
      </c>
      <c r="D81" s="3" t="n">
        <v>76</v>
      </c>
      <c r="E81" s="3" t="n">
        <v>133</v>
      </c>
      <c r="F81" s="3" t="n">
        <v>244</v>
      </c>
      <c r="G81" s="3" t="n">
        <v>134</v>
      </c>
      <c r="H81" s="3" t="n">
        <v>114</v>
      </c>
      <c r="I81" s="3" t="n">
        <v>130</v>
      </c>
      <c r="J81" s="3" t="n">
        <v>118</v>
      </c>
      <c r="K81" s="3" t="n">
        <v>107</v>
      </c>
      <c r="L81" s="3" t="n">
        <v>111</v>
      </c>
      <c r="M81" s="3">
        <f>SUM(C81:L81)</f>
        <v/>
      </c>
    </row>
    <row r="82">
      <c r="A82" s="2" t="inlineStr">
        <is>
          <t>2026-10-29 15:00</t>
        </is>
      </c>
      <c r="B82" s="3" t="n">
        <v>7</v>
      </c>
      <c r="C82" s="3" t="n">
        <v>114</v>
      </c>
      <c r="D82" s="3" t="n">
        <v>76</v>
      </c>
      <c r="E82" s="3" t="n">
        <v>133</v>
      </c>
      <c r="F82" s="3" t="n">
        <v>244</v>
      </c>
      <c r="G82" s="3" t="n">
        <v>134</v>
      </c>
      <c r="H82" s="3" t="n">
        <v>114</v>
      </c>
      <c r="I82" s="3" t="n">
        <v>130</v>
      </c>
      <c r="J82" s="3" t="n">
        <v>118</v>
      </c>
      <c r="K82" s="3" t="n">
        <v>107</v>
      </c>
      <c r="L82" s="3" t="n">
        <v>111</v>
      </c>
      <c r="M82" s="3">
        <f>SUM(C82:L82)</f>
        <v/>
      </c>
    </row>
    <row r="83">
      <c r="A83" s="2" t="inlineStr">
        <is>
          <t>2026-10-29 16:00</t>
        </is>
      </c>
      <c r="B83" s="3" t="n">
        <v>7</v>
      </c>
      <c r="C83" s="3" t="n">
        <v>114</v>
      </c>
      <c r="D83" s="3" t="n">
        <v>76</v>
      </c>
      <c r="E83" s="3" t="n">
        <v>133</v>
      </c>
      <c r="F83" s="3" t="n">
        <v>244</v>
      </c>
      <c r="G83" s="3" t="n">
        <v>134</v>
      </c>
      <c r="H83" s="3" t="n">
        <v>114</v>
      </c>
      <c r="I83" s="3" t="n">
        <v>130</v>
      </c>
      <c r="J83" s="3" t="n">
        <v>118</v>
      </c>
      <c r="K83" s="3" t="n">
        <v>107</v>
      </c>
      <c r="L83" s="3" t="n">
        <v>112</v>
      </c>
      <c r="M83" s="3">
        <f>SUM(C83:L83)</f>
        <v/>
      </c>
    </row>
    <row r="84">
      <c r="A84" s="2" t="inlineStr">
        <is>
          <t>2026-10-29 17:00</t>
        </is>
      </c>
      <c r="B84" s="3" t="n">
        <v>7</v>
      </c>
      <c r="C84" s="3" t="n">
        <v>114</v>
      </c>
      <c r="D84" s="3" t="n">
        <v>76</v>
      </c>
      <c r="E84" s="3" t="n">
        <v>133</v>
      </c>
      <c r="F84" s="3" t="n">
        <v>244</v>
      </c>
      <c r="G84" s="3" t="n">
        <v>134</v>
      </c>
      <c r="H84" s="3" t="n">
        <v>114</v>
      </c>
      <c r="I84" s="3" t="n">
        <v>130</v>
      </c>
      <c r="J84" s="3" t="n">
        <v>118</v>
      </c>
      <c r="K84" s="3" t="n">
        <v>107</v>
      </c>
      <c r="L84" s="3" t="n">
        <v>112</v>
      </c>
      <c r="M84" s="3">
        <f>SUM(C84:L84)</f>
        <v/>
      </c>
    </row>
    <row r="85">
      <c r="A85" s="2" t="inlineStr">
        <is>
          <t>2026-10-29 18:00</t>
        </is>
      </c>
      <c r="B85" s="3" t="n">
        <v>7</v>
      </c>
      <c r="C85" s="3" t="n">
        <v>114</v>
      </c>
      <c r="D85" s="3" t="n">
        <v>76</v>
      </c>
      <c r="E85" s="3" t="n">
        <v>133</v>
      </c>
      <c r="F85" s="3" t="n">
        <v>244</v>
      </c>
      <c r="G85" s="3" t="n">
        <v>134</v>
      </c>
      <c r="H85" s="3" t="n">
        <v>114</v>
      </c>
      <c r="I85" s="3" t="n">
        <v>130</v>
      </c>
      <c r="J85" s="3" t="n">
        <v>118</v>
      </c>
      <c r="K85" s="3" t="n">
        <v>107</v>
      </c>
      <c r="L85" s="3" t="n">
        <v>112</v>
      </c>
      <c r="M85" s="3">
        <f>SUM(C85:L85)</f>
        <v/>
      </c>
    </row>
    <row r="86">
      <c r="A86" s="2" t="inlineStr">
        <is>
          <t>2026-10-29 19:00</t>
        </is>
      </c>
      <c r="B86" s="3" t="n">
        <v>7</v>
      </c>
      <c r="C86" s="3" t="n">
        <v>114</v>
      </c>
      <c r="D86" s="3" t="n">
        <v>76</v>
      </c>
      <c r="E86" s="3" t="n">
        <v>133</v>
      </c>
      <c r="F86" s="3" t="n">
        <v>244</v>
      </c>
      <c r="G86" s="3" t="n">
        <v>134</v>
      </c>
      <c r="H86" s="3" t="n">
        <v>114</v>
      </c>
      <c r="I86" s="3" t="n">
        <v>130</v>
      </c>
      <c r="J86" s="3" t="n">
        <v>118</v>
      </c>
      <c r="K86" s="3" t="n">
        <v>107</v>
      </c>
      <c r="L86" s="3" t="n">
        <v>112</v>
      </c>
      <c r="M86" s="3">
        <f>SUM(C86:L86)</f>
        <v/>
      </c>
    </row>
    <row r="87">
      <c r="A87" s="2" t="inlineStr">
        <is>
          <t>2026-10-29 20:00</t>
        </is>
      </c>
      <c r="B87" s="3" t="n">
        <v>7</v>
      </c>
      <c r="C87" s="3" t="n">
        <v>114</v>
      </c>
      <c r="D87" s="3" t="n">
        <v>76</v>
      </c>
      <c r="E87" s="3" t="n">
        <v>133</v>
      </c>
      <c r="F87" s="3" t="n">
        <v>244</v>
      </c>
      <c r="G87" s="3" t="n">
        <v>134</v>
      </c>
      <c r="H87" s="3" t="n">
        <v>114</v>
      </c>
      <c r="I87" s="3" t="n">
        <v>130</v>
      </c>
      <c r="J87" s="3" t="n">
        <v>118</v>
      </c>
      <c r="K87" s="3" t="n">
        <v>107</v>
      </c>
      <c r="L87" s="3" t="n">
        <v>112</v>
      </c>
      <c r="M87" s="3">
        <f>SUM(C87:L87)</f>
        <v/>
      </c>
    </row>
    <row r="88">
      <c r="A88" s="2" t="inlineStr">
        <is>
          <t>2026-10-29 21:00</t>
        </is>
      </c>
      <c r="B88" s="3" t="n">
        <v>7</v>
      </c>
      <c r="C88" s="3" t="n">
        <v>114</v>
      </c>
      <c r="D88" s="3" t="n">
        <v>76</v>
      </c>
      <c r="E88" s="3" t="n">
        <v>133</v>
      </c>
      <c r="F88" s="3" t="n">
        <v>244</v>
      </c>
      <c r="G88" s="3" t="n">
        <v>134</v>
      </c>
      <c r="H88" s="3" t="n">
        <v>114</v>
      </c>
      <c r="I88" s="3" t="n">
        <v>130</v>
      </c>
      <c r="J88" s="3" t="n">
        <v>118</v>
      </c>
      <c r="K88" s="3" t="n">
        <v>107</v>
      </c>
      <c r="L88" s="3" t="n">
        <v>112</v>
      </c>
      <c r="M88" s="3">
        <f>SUM(C88:L88)</f>
        <v/>
      </c>
    </row>
    <row r="89">
      <c r="A89" s="2" t="inlineStr">
        <is>
          <t>2026-10-29 22:00</t>
        </is>
      </c>
      <c r="B89" s="3" t="n">
        <v>7</v>
      </c>
      <c r="C89" s="3" t="n">
        <v>114</v>
      </c>
      <c r="D89" s="3" t="n">
        <v>76</v>
      </c>
      <c r="E89" s="3" t="n">
        <v>133</v>
      </c>
      <c r="F89" s="3" t="n">
        <v>244</v>
      </c>
      <c r="G89" s="3" t="n">
        <v>134</v>
      </c>
      <c r="H89" s="3" t="n">
        <v>114</v>
      </c>
      <c r="I89" s="3" t="n">
        <v>130</v>
      </c>
      <c r="J89" s="3" t="n">
        <v>118</v>
      </c>
      <c r="K89" s="3" t="n">
        <v>107</v>
      </c>
      <c r="L89" s="3" t="n">
        <v>112</v>
      </c>
      <c r="M89" s="3">
        <f>SUM(C89:L89)</f>
        <v/>
      </c>
    </row>
    <row r="90">
      <c r="A90" s="2" t="inlineStr">
        <is>
          <t>2026-10-30 06:00</t>
        </is>
      </c>
      <c r="B90" s="3" t="n">
        <v>7</v>
      </c>
      <c r="C90" s="3" t="n">
        <v>114</v>
      </c>
      <c r="D90" s="3" t="n">
        <v>76</v>
      </c>
      <c r="E90" s="3" t="n">
        <v>133</v>
      </c>
      <c r="F90" s="3" t="n">
        <v>244</v>
      </c>
      <c r="G90" s="3" t="n">
        <v>134</v>
      </c>
      <c r="H90" s="3" t="n">
        <v>114</v>
      </c>
      <c r="I90" s="3" t="n">
        <v>130</v>
      </c>
      <c r="J90" s="3" t="n">
        <v>118</v>
      </c>
      <c r="K90" s="3" t="n">
        <v>107</v>
      </c>
      <c r="L90" s="3" t="n">
        <v>112</v>
      </c>
      <c r="M90" s="3">
        <f>SUM(C90:L90)</f>
        <v/>
      </c>
    </row>
    <row r="91">
      <c r="A91" s="2" t="inlineStr">
        <is>
          <t>2026-10-30 07:00</t>
        </is>
      </c>
      <c r="B91" s="3" t="n">
        <v>7</v>
      </c>
      <c r="C91" s="3" t="n">
        <v>114</v>
      </c>
      <c r="D91" s="3" t="n">
        <v>76</v>
      </c>
      <c r="E91" s="3" t="n">
        <v>133</v>
      </c>
      <c r="F91" s="3" t="n">
        <v>244</v>
      </c>
      <c r="G91" s="3" t="n">
        <v>134</v>
      </c>
      <c r="H91" s="3" t="n">
        <v>114</v>
      </c>
      <c r="I91" s="3" t="n">
        <v>130</v>
      </c>
      <c r="J91" s="3" t="n">
        <v>118</v>
      </c>
      <c r="K91" s="3" t="n">
        <v>107</v>
      </c>
      <c r="L91" s="3" t="n">
        <v>112</v>
      </c>
      <c r="M91" s="3">
        <f>SUM(C91:L91)</f>
        <v/>
      </c>
    </row>
    <row r="92">
      <c r="A92" s="2" t="inlineStr">
        <is>
          <t>2026-10-30 08:00</t>
        </is>
      </c>
      <c r="B92" s="3" t="n">
        <v>7</v>
      </c>
      <c r="C92" s="3" t="n">
        <v>114</v>
      </c>
      <c r="D92" s="3" t="n">
        <v>76</v>
      </c>
      <c r="E92" s="3" t="n">
        <v>133</v>
      </c>
      <c r="F92" s="3" t="n">
        <v>244</v>
      </c>
      <c r="G92" s="3" t="n">
        <v>134</v>
      </c>
      <c r="H92" s="3" t="n">
        <v>114</v>
      </c>
      <c r="I92" s="3" t="n">
        <v>130</v>
      </c>
      <c r="J92" s="3" t="n">
        <v>118</v>
      </c>
      <c r="K92" s="3" t="n">
        <v>107</v>
      </c>
      <c r="L92" s="3" t="n">
        <v>112</v>
      </c>
      <c r="M92" s="3">
        <f>SUM(C92:L92)</f>
        <v/>
      </c>
    </row>
    <row r="93">
      <c r="A93" s="2" t="inlineStr">
        <is>
          <t>2026-10-30 09:00</t>
        </is>
      </c>
      <c r="B93" s="3" t="n">
        <v>7</v>
      </c>
      <c r="C93" s="3" t="n">
        <v>114</v>
      </c>
      <c r="D93" s="3" t="n">
        <v>76</v>
      </c>
      <c r="E93" s="3" t="n">
        <v>133</v>
      </c>
      <c r="F93" s="3" t="n">
        <v>244</v>
      </c>
      <c r="G93" s="3" t="n">
        <v>134</v>
      </c>
      <c r="H93" s="3" t="n">
        <v>114</v>
      </c>
      <c r="I93" s="3" t="n">
        <v>130</v>
      </c>
      <c r="J93" s="3" t="n">
        <v>118</v>
      </c>
      <c r="K93" s="3" t="n">
        <v>107</v>
      </c>
      <c r="L93" s="3" t="n">
        <v>112</v>
      </c>
      <c r="M93" s="3">
        <f>SUM(C93:L93)</f>
        <v/>
      </c>
    </row>
    <row r="94">
      <c r="A94" s="2" t="inlineStr">
        <is>
          <t>2026-10-30 10:00</t>
        </is>
      </c>
      <c r="B94" s="3" t="n">
        <v>7</v>
      </c>
      <c r="C94" s="3" t="n">
        <v>114</v>
      </c>
      <c r="D94" s="3" t="n">
        <v>76</v>
      </c>
      <c r="E94" s="3" t="n">
        <v>133</v>
      </c>
      <c r="F94" s="3" t="n">
        <v>244</v>
      </c>
      <c r="G94" s="3" t="n">
        <v>134</v>
      </c>
      <c r="H94" s="3" t="n">
        <v>114</v>
      </c>
      <c r="I94" s="3" t="n">
        <v>130</v>
      </c>
      <c r="J94" s="3" t="n">
        <v>118</v>
      </c>
      <c r="K94" s="3" t="n">
        <v>107</v>
      </c>
      <c r="L94" s="3" t="n">
        <v>112</v>
      </c>
      <c r="M94" s="3">
        <f>SUM(C94:L94)</f>
        <v/>
      </c>
    </row>
    <row r="95">
      <c r="A95" s="2" t="inlineStr">
        <is>
          <t>2026-10-30 11:00</t>
        </is>
      </c>
      <c r="B95" s="3" t="n">
        <v>7</v>
      </c>
      <c r="C95" s="3" t="n">
        <v>114</v>
      </c>
      <c r="D95" s="3" t="n">
        <v>76</v>
      </c>
      <c r="E95" s="3" t="n">
        <v>133</v>
      </c>
      <c r="F95" s="3" t="n">
        <v>244</v>
      </c>
      <c r="G95" s="3" t="n">
        <v>134</v>
      </c>
      <c r="H95" s="3" t="n">
        <v>114</v>
      </c>
      <c r="I95" s="3" t="n">
        <v>130</v>
      </c>
      <c r="J95" s="3" t="n">
        <v>118</v>
      </c>
      <c r="K95" s="3" t="n">
        <v>107</v>
      </c>
      <c r="L95" s="3" t="n">
        <v>112</v>
      </c>
      <c r="M95" s="3">
        <f>SUM(C95:L95)</f>
        <v/>
      </c>
    </row>
    <row r="96">
      <c r="A96" s="2" t="inlineStr">
        <is>
          <t>2026-10-30 12:00</t>
        </is>
      </c>
      <c r="B96" s="3" t="n">
        <v>7</v>
      </c>
      <c r="C96" s="3" t="n">
        <v>114</v>
      </c>
      <c r="D96" s="3" t="n">
        <v>76</v>
      </c>
      <c r="E96" s="3" t="n">
        <v>133</v>
      </c>
      <c r="F96" s="3" t="n">
        <v>244</v>
      </c>
      <c r="G96" s="3" t="n">
        <v>134</v>
      </c>
      <c r="H96" s="3" t="n">
        <v>114</v>
      </c>
      <c r="I96" s="3" t="n">
        <v>130</v>
      </c>
      <c r="J96" s="3" t="n">
        <v>118</v>
      </c>
      <c r="K96" s="3" t="n">
        <v>107</v>
      </c>
      <c r="L96" s="3" t="n">
        <v>112</v>
      </c>
      <c r="M96" s="3">
        <f>SUM(C96:L96)</f>
        <v/>
      </c>
    </row>
    <row r="97">
      <c r="A97" s="2" t="inlineStr">
        <is>
          <t>2026-10-30 13:00</t>
        </is>
      </c>
      <c r="B97" s="3" t="n">
        <v>7</v>
      </c>
      <c r="C97" s="3" t="n">
        <v>114</v>
      </c>
      <c r="D97" s="3" t="n">
        <v>76</v>
      </c>
      <c r="E97" s="3" t="n">
        <v>133</v>
      </c>
      <c r="F97" s="3" t="n">
        <v>244</v>
      </c>
      <c r="G97" s="3" t="n">
        <v>134</v>
      </c>
      <c r="H97" s="3" t="n">
        <v>114</v>
      </c>
      <c r="I97" s="3" t="n">
        <v>130</v>
      </c>
      <c r="J97" s="3" t="n">
        <v>118</v>
      </c>
      <c r="K97" s="3" t="n">
        <v>107</v>
      </c>
      <c r="L97" s="3" t="n">
        <v>112</v>
      </c>
      <c r="M97" s="3">
        <f>SUM(C97:L97)</f>
        <v/>
      </c>
    </row>
    <row r="98">
      <c r="A98" s="2" t="inlineStr">
        <is>
          <t>2026-10-30 14:00</t>
        </is>
      </c>
      <c r="B98" s="3" t="n">
        <v>7</v>
      </c>
      <c r="C98" s="3" t="n">
        <v>114</v>
      </c>
      <c r="D98" s="3" t="n">
        <v>76</v>
      </c>
      <c r="E98" s="3" t="n">
        <v>133</v>
      </c>
      <c r="F98" s="3" t="n">
        <v>244</v>
      </c>
      <c r="G98" s="3" t="n">
        <v>134</v>
      </c>
      <c r="H98" s="3" t="n">
        <v>114</v>
      </c>
      <c r="I98" s="3" t="n">
        <v>130</v>
      </c>
      <c r="J98" s="3" t="n">
        <v>118</v>
      </c>
      <c r="K98" s="3" t="n">
        <v>107</v>
      </c>
      <c r="L98" s="3" t="n">
        <v>112</v>
      </c>
      <c r="M98" s="3">
        <f>SUM(C98:L98)</f>
        <v/>
      </c>
    </row>
    <row r="99">
      <c r="A99" s="2" t="inlineStr">
        <is>
          <t>2026-10-30 15:00</t>
        </is>
      </c>
      <c r="B99" s="3" t="n">
        <v>7</v>
      </c>
      <c r="C99" s="3" t="n">
        <v>114</v>
      </c>
      <c r="D99" s="3" t="n">
        <v>76</v>
      </c>
      <c r="E99" s="3" t="n">
        <v>133</v>
      </c>
      <c r="F99" s="3" t="n">
        <v>244</v>
      </c>
      <c r="G99" s="3" t="n">
        <v>134</v>
      </c>
      <c r="H99" s="3" t="n">
        <v>114</v>
      </c>
      <c r="I99" s="3" t="n">
        <v>130</v>
      </c>
      <c r="J99" s="3" t="n">
        <v>118</v>
      </c>
      <c r="K99" s="3" t="n">
        <v>107</v>
      </c>
      <c r="L99" s="3" t="n">
        <v>112</v>
      </c>
      <c r="M99" s="3">
        <f>SUM(C99:L99)</f>
        <v/>
      </c>
    </row>
    <row r="100">
      <c r="A100" s="2" t="inlineStr">
        <is>
          <t>2026-10-30 16:00</t>
        </is>
      </c>
      <c r="B100" s="3" t="n">
        <v>7</v>
      </c>
      <c r="C100" s="3" t="n">
        <v>114</v>
      </c>
      <c r="D100" s="3" t="n">
        <v>76</v>
      </c>
      <c r="E100" s="3" t="n">
        <v>133</v>
      </c>
      <c r="F100" s="3" t="n">
        <v>244</v>
      </c>
      <c r="G100" s="3" t="n">
        <v>134</v>
      </c>
      <c r="H100" s="3" t="n">
        <v>114</v>
      </c>
      <c r="I100" s="3" t="n">
        <v>130</v>
      </c>
      <c r="J100" s="3" t="n">
        <v>118</v>
      </c>
      <c r="K100" s="3" t="n">
        <v>107</v>
      </c>
      <c r="L100" s="3" t="n">
        <v>112</v>
      </c>
      <c r="M100" s="3">
        <f>SUM(C100:L100)</f>
        <v/>
      </c>
    </row>
    <row r="101">
      <c r="A101" s="2" t="inlineStr">
        <is>
          <t>2026-10-30 17:00</t>
        </is>
      </c>
      <c r="B101" s="3" t="n">
        <v>7</v>
      </c>
      <c r="C101" s="3" t="n">
        <v>114</v>
      </c>
      <c r="D101" s="3" t="n">
        <v>76</v>
      </c>
      <c r="E101" s="3" t="n">
        <v>133</v>
      </c>
      <c r="F101" s="3" t="n">
        <v>244</v>
      </c>
      <c r="G101" s="3" t="n">
        <v>134</v>
      </c>
      <c r="H101" s="3" t="n">
        <v>114</v>
      </c>
      <c r="I101" s="3" t="n">
        <v>130</v>
      </c>
      <c r="J101" s="3" t="n">
        <v>118</v>
      </c>
      <c r="K101" s="3" t="n">
        <v>107</v>
      </c>
      <c r="L101" s="3" t="n">
        <v>112</v>
      </c>
      <c r="M101" s="3">
        <f>SUM(C101:L101)</f>
        <v/>
      </c>
    </row>
    <row r="102">
      <c r="A102" s="2" t="inlineStr">
        <is>
          <t>2026-10-30 18:00</t>
        </is>
      </c>
      <c r="B102" s="3" t="n">
        <v>7</v>
      </c>
      <c r="C102" s="3" t="n">
        <v>114</v>
      </c>
      <c r="D102" s="3" t="n">
        <v>76</v>
      </c>
      <c r="E102" s="3" t="n">
        <v>133</v>
      </c>
      <c r="F102" s="3" t="n">
        <v>244</v>
      </c>
      <c r="G102" s="3" t="n">
        <v>134</v>
      </c>
      <c r="H102" s="3" t="n">
        <v>114</v>
      </c>
      <c r="I102" s="3" t="n">
        <v>130</v>
      </c>
      <c r="J102" s="3" t="n">
        <v>118</v>
      </c>
      <c r="K102" s="3" t="n">
        <v>107</v>
      </c>
      <c r="L102" s="3" t="n">
        <v>112</v>
      </c>
      <c r="M102" s="3">
        <f>SUM(C102:L102)</f>
        <v/>
      </c>
    </row>
    <row r="103">
      <c r="A103" s="2" t="inlineStr">
        <is>
          <t>2026-10-30 19:00</t>
        </is>
      </c>
      <c r="B103" s="3" t="n">
        <v>7</v>
      </c>
      <c r="C103" s="3" t="n">
        <v>114</v>
      </c>
      <c r="D103" s="3" t="n">
        <v>76</v>
      </c>
      <c r="E103" s="3" t="n">
        <v>133</v>
      </c>
      <c r="F103" s="3" t="n">
        <v>244</v>
      </c>
      <c r="G103" s="3" t="n">
        <v>134</v>
      </c>
      <c r="H103" s="3" t="n">
        <v>114</v>
      </c>
      <c r="I103" s="3" t="n">
        <v>130</v>
      </c>
      <c r="J103" s="3" t="n">
        <v>118</v>
      </c>
      <c r="K103" s="3" t="n">
        <v>107</v>
      </c>
      <c r="L103" s="3" t="n">
        <v>112</v>
      </c>
      <c r="M103" s="3">
        <f>SUM(C103:L103)</f>
        <v/>
      </c>
    </row>
    <row r="104">
      <c r="A104" s="2" t="inlineStr">
        <is>
          <t>2026-10-30 20:00</t>
        </is>
      </c>
      <c r="B104" s="3" t="n">
        <v>7</v>
      </c>
      <c r="C104" s="3" t="n">
        <v>114</v>
      </c>
      <c r="D104" s="3" t="n">
        <v>76</v>
      </c>
      <c r="E104" s="3" t="n">
        <v>133</v>
      </c>
      <c r="F104" s="3" t="n">
        <v>244</v>
      </c>
      <c r="G104" s="3" t="n">
        <v>134</v>
      </c>
      <c r="H104" s="3" t="n">
        <v>114</v>
      </c>
      <c r="I104" s="3" t="n">
        <v>130</v>
      </c>
      <c r="J104" s="3" t="n">
        <v>118</v>
      </c>
      <c r="K104" s="3" t="n">
        <v>107</v>
      </c>
      <c r="L104" s="3" t="n">
        <v>112</v>
      </c>
      <c r="M104" s="3">
        <f>SUM(C104:L104)</f>
        <v/>
      </c>
    </row>
    <row r="105">
      <c r="A105" s="2" t="inlineStr">
        <is>
          <t>2026-10-30 21:00</t>
        </is>
      </c>
      <c r="B105" s="3" t="n">
        <v>7</v>
      </c>
      <c r="C105" s="3" t="n">
        <v>114</v>
      </c>
      <c r="D105" s="3" t="n">
        <v>76</v>
      </c>
      <c r="E105" s="3" t="n">
        <v>133</v>
      </c>
      <c r="F105" s="3" t="n">
        <v>244</v>
      </c>
      <c r="G105" s="3" t="n">
        <v>134</v>
      </c>
      <c r="H105" s="3" t="n">
        <v>114</v>
      </c>
      <c r="I105" s="3" t="n">
        <v>130</v>
      </c>
      <c r="J105" s="3" t="n">
        <v>118</v>
      </c>
      <c r="K105" s="3" t="n">
        <v>107</v>
      </c>
      <c r="L105" s="3" t="n">
        <v>112</v>
      </c>
      <c r="M105" s="3">
        <f>SUM(C105:L105)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10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2" customWidth="1" min="12" max="12"/>
  </cols>
  <sheetData>
    <row r="1" ht="32" customHeight="1">
      <c r="A1" s="1" t="inlineStr">
        <is>
          <t>Heure</t>
        </is>
      </c>
      <c r="B1" s="1" t="inlineStr">
        <is>
          <t>10-21 Gel des pensions : oui</t>
        </is>
      </c>
      <c r="C1" s="1" t="inlineStr">
        <is>
          <t>10-22 Couper les réseaux soc</t>
        </is>
      </c>
      <c r="D1" s="1" t="inlineStr">
        <is>
          <t>10-24 À toi de juger : il fa</t>
        </is>
      </c>
      <c r="E1" s="1" t="inlineStr">
        <is>
          <t>10-24 « Oui, nous avons perd</t>
        </is>
      </c>
      <c r="F1" s="1" t="inlineStr">
        <is>
          <t>10-24 Cinq infos de la semai</t>
        </is>
      </c>
      <c r="G1" s="1" t="inlineStr">
        <is>
          <t>10-25 Des millions publics p</t>
        </is>
      </c>
      <c r="H1" s="1" t="inlineStr">
        <is>
          <t>10-25 Vendredi, Macron au co</t>
        </is>
      </c>
      <c r="I1" s="1" t="inlineStr">
        <is>
          <t xml:space="preserve">10-25 2 513 gardes à vue et </t>
        </is>
      </c>
      <c r="J1" s="1" t="inlineStr">
        <is>
          <t>10-27 54 milliards d'efforts</t>
        </is>
      </c>
      <c r="K1" s="1" t="inlineStr">
        <is>
          <t>10-29 Macron demande aux bra</t>
        </is>
      </c>
      <c r="L1" s="1" t="inlineStr">
        <is>
          <t>Total de l'heure</t>
        </is>
      </c>
    </row>
    <row r="2">
      <c r="A2" s="2">
        <f>'Heure par heure'!A2</f>
        <v/>
      </c>
      <c r="B2" s="3" t="inlineStr"/>
      <c r="C2" s="3" t="inlineStr"/>
      <c r="D2" s="3" t="inlineStr"/>
      <c r="E2" s="3" t="inlineStr"/>
      <c r="F2" s="3" t="inlineStr"/>
      <c r="G2" s="3" t="inlineStr"/>
      <c r="H2" s="3" t="inlineStr"/>
      <c r="I2" s="3" t="inlineStr"/>
      <c r="J2" s="3" t="inlineStr"/>
      <c r="K2" s="3" t="inlineStr"/>
      <c r="L2" s="3">
        <f>SUM(B2:K2)</f>
        <v/>
      </c>
    </row>
    <row r="3">
      <c r="A3" s="2">
        <f>'Heure par heure'!A3</f>
        <v/>
      </c>
      <c r="B3" s="3">
        <f>IF('Heure par heure'!C3="","",'Heure par heure'!C3-N('Heure par heure'!C2))</f>
        <v/>
      </c>
      <c r="C3" s="3">
        <f>IF('Heure par heure'!D3="","",'Heure par heure'!D3-N('Heure par heure'!D2))</f>
        <v/>
      </c>
      <c r="D3" s="3">
        <f>IF('Heure par heure'!E3="","",'Heure par heure'!E3-N('Heure par heure'!E2))</f>
        <v/>
      </c>
      <c r="E3" s="3">
        <f>IF('Heure par heure'!F3="","",'Heure par heure'!F3-N('Heure par heure'!F2))</f>
        <v/>
      </c>
      <c r="F3" s="3">
        <f>IF('Heure par heure'!G3="","",'Heure par heure'!G3-N('Heure par heure'!G2))</f>
        <v/>
      </c>
      <c r="G3" s="3">
        <f>IF('Heure par heure'!H3="","",'Heure par heure'!H3-N('Heure par heure'!H2))</f>
        <v/>
      </c>
      <c r="H3" s="3">
        <f>IF('Heure par heure'!I3="","",'Heure par heure'!I3-N('Heure par heure'!I2))</f>
        <v/>
      </c>
      <c r="I3" s="3">
        <f>IF('Heure par heure'!J3="","",'Heure par heure'!J3-N('Heure par heure'!J2))</f>
        <v/>
      </c>
      <c r="J3" s="3">
        <f>IF('Heure par heure'!K3="","",'Heure par heure'!K3-N('Heure par heure'!K2))</f>
        <v/>
      </c>
      <c r="K3" s="3">
        <f>IF('Heure par heure'!L3="","",'Heure par heure'!L3-N('Heure par heure'!L2))</f>
        <v/>
      </c>
      <c r="L3" s="3">
        <f>SUM(B3:K3)</f>
        <v/>
      </c>
    </row>
    <row r="4">
      <c r="A4" s="2">
        <f>'Heure par heure'!A4</f>
        <v/>
      </c>
      <c r="B4" s="3">
        <f>IF('Heure par heure'!C4="","",'Heure par heure'!C4-N('Heure par heure'!C3))</f>
        <v/>
      </c>
      <c r="C4" s="3">
        <f>IF('Heure par heure'!D4="","",'Heure par heure'!D4-N('Heure par heure'!D3))</f>
        <v/>
      </c>
      <c r="D4" s="3">
        <f>IF('Heure par heure'!E4="","",'Heure par heure'!E4-N('Heure par heure'!E3))</f>
        <v/>
      </c>
      <c r="E4" s="3">
        <f>IF('Heure par heure'!F4="","",'Heure par heure'!F4-N('Heure par heure'!F3))</f>
        <v/>
      </c>
      <c r="F4" s="3">
        <f>IF('Heure par heure'!G4="","",'Heure par heure'!G4-N('Heure par heure'!G3))</f>
        <v/>
      </c>
      <c r="G4" s="3">
        <f>IF('Heure par heure'!H4="","",'Heure par heure'!H4-N('Heure par heure'!H3))</f>
        <v/>
      </c>
      <c r="H4" s="3">
        <f>IF('Heure par heure'!I4="","",'Heure par heure'!I4-N('Heure par heure'!I3))</f>
        <v/>
      </c>
      <c r="I4" s="3">
        <f>IF('Heure par heure'!J4="","",'Heure par heure'!J4-N('Heure par heure'!J3))</f>
        <v/>
      </c>
      <c r="J4" s="3">
        <f>IF('Heure par heure'!K4="","",'Heure par heure'!K4-N('Heure par heure'!K3))</f>
        <v/>
      </c>
      <c r="K4" s="3">
        <f>IF('Heure par heure'!L4="","",'Heure par heure'!L4-N('Heure par heure'!L3))</f>
        <v/>
      </c>
      <c r="L4" s="3">
        <f>SUM(B4:K4)</f>
        <v/>
      </c>
    </row>
    <row r="5">
      <c r="A5" s="2">
        <f>'Heure par heure'!A5</f>
        <v/>
      </c>
      <c r="B5" s="3">
        <f>IF('Heure par heure'!C5="","",'Heure par heure'!C5-N('Heure par heure'!C4))</f>
        <v/>
      </c>
      <c r="C5" s="3">
        <f>IF('Heure par heure'!D5="","",'Heure par heure'!D5-N('Heure par heure'!D4))</f>
        <v/>
      </c>
      <c r="D5" s="3">
        <f>IF('Heure par heure'!E5="","",'Heure par heure'!E5-N('Heure par heure'!E4))</f>
        <v/>
      </c>
      <c r="E5" s="3">
        <f>IF('Heure par heure'!F5="","",'Heure par heure'!F5-N('Heure par heure'!F4))</f>
        <v/>
      </c>
      <c r="F5" s="3">
        <f>IF('Heure par heure'!G5="","",'Heure par heure'!G5-N('Heure par heure'!G4))</f>
        <v/>
      </c>
      <c r="G5" s="3">
        <f>IF('Heure par heure'!H5="","",'Heure par heure'!H5-N('Heure par heure'!H4))</f>
        <v/>
      </c>
      <c r="H5" s="3">
        <f>IF('Heure par heure'!I5="","",'Heure par heure'!I5-N('Heure par heure'!I4))</f>
        <v/>
      </c>
      <c r="I5" s="3">
        <f>IF('Heure par heure'!J5="","",'Heure par heure'!J5-N('Heure par heure'!J4))</f>
        <v/>
      </c>
      <c r="J5" s="3">
        <f>IF('Heure par heure'!K5="","",'Heure par heure'!K5-N('Heure par heure'!K4))</f>
        <v/>
      </c>
      <c r="K5" s="3">
        <f>IF('Heure par heure'!L5="","",'Heure par heure'!L5-N('Heure par heure'!L4))</f>
        <v/>
      </c>
      <c r="L5" s="3">
        <f>SUM(B5:K5)</f>
        <v/>
      </c>
    </row>
    <row r="6">
      <c r="A6" s="2">
        <f>'Heure par heure'!A6</f>
        <v/>
      </c>
      <c r="B6" s="3">
        <f>IF('Heure par heure'!C6="","",'Heure par heure'!C6-N('Heure par heure'!C5))</f>
        <v/>
      </c>
      <c r="C6" s="3">
        <f>IF('Heure par heure'!D6="","",'Heure par heure'!D6-N('Heure par heure'!D5))</f>
        <v/>
      </c>
      <c r="D6" s="3">
        <f>IF('Heure par heure'!E6="","",'Heure par heure'!E6-N('Heure par heure'!E5))</f>
        <v/>
      </c>
      <c r="E6" s="3">
        <f>IF('Heure par heure'!F6="","",'Heure par heure'!F6-N('Heure par heure'!F5))</f>
        <v/>
      </c>
      <c r="F6" s="3">
        <f>IF('Heure par heure'!G6="","",'Heure par heure'!G6-N('Heure par heure'!G5))</f>
        <v/>
      </c>
      <c r="G6" s="3">
        <f>IF('Heure par heure'!H6="","",'Heure par heure'!H6-N('Heure par heure'!H5))</f>
        <v/>
      </c>
      <c r="H6" s="3">
        <f>IF('Heure par heure'!I6="","",'Heure par heure'!I6-N('Heure par heure'!I5))</f>
        <v/>
      </c>
      <c r="I6" s="3">
        <f>IF('Heure par heure'!J6="","",'Heure par heure'!J6-N('Heure par heure'!J5))</f>
        <v/>
      </c>
      <c r="J6" s="3">
        <f>IF('Heure par heure'!K6="","",'Heure par heure'!K6-N('Heure par heure'!K5))</f>
        <v/>
      </c>
      <c r="K6" s="3">
        <f>IF('Heure par heure'!L6="","",'Heure par heure'!L6-N('Heure par heure'!L5))</f>
        <v/>
      </c>
      <c r="L6" s="3">
        <f>SUM(B6:K6)</f>
        <v/>
      </c>
    </row>
    <row r="7">
      <c r="A7" s="2">
        <f>'Heure par heure'!A7</f>
        <v/>
      </c>
      <c r="B7" s="3">
        <f>IF('Heure par heure'!C7="","",'Heure par heure'!C7-N('Heure par heure'!C6))</f>
        <v/>
      </c>
      <c r="C7" s="3">
        <f>IF('Heure par heure'!D7="","",'Heure par heure'!D7-N('Heure par heure'!D6))</f>
        <v/>
      </c>
      <c r="D7" s="3">
        <f>IF('Heure par heure'!E7="","",'Heure par heure'!E7-N('Heure par heure'!E6))</f>
        <v/>
      </c>
      <c r="E7" s="3">
        <f>IF('Heure par heure'!F7="","",'Heure par heure'!F7-N('Heure par heure'!F6))</f>
        <v/>
      </c>
      <c r="F7" s="3">
        <f>IF('Heure par heure'!G7="","",'Heure par heure'!G7-N('Heure par heure'!G6))</f>
        <v/>
      </c>
      <c r="G7" s="3">
        <f>IF('Heure par heure'!H7="","",'Heure par heure'!H7-N('Heure par heure'!H6))</f>
        <v/>
      </c>
      <c r="H7" s="3">
        <f>IF('Heure par heure'!I7="","",'Heure par heure'!I7-N('Heure par heure'!I6))</f>
        <v/>
      </c>
      <c r="I7" s="3">
        <f>IF('Heure par heure'!J7="","",'Heure par heure'!J7-N('Heure par heure'!J6))</f>
        <v/>
      </c>
      <c r="J7" s="3">
        <f>IF('Heure par heure'!K7="","",'Heure par heure'!K7-N('Heure par heure'!K6))</f>
        <v/>
      </c>
      <c r="K7" s="3">
        <f>IF('Heure par heure'!L7="","",'Heure par heure'!L7-N('Heure par heure'!L6))</f>
        <v/>
      </c>
      <c r="L7" s="3">
        <f>SUM(B7:K7)</f>
        <v/>
      </c>
    </row>
    <row r="8">
      <c r="A8" s="2">
        <f>'Heure par heure'!A8</f>
        <v/>
      </c>
      <c r="B8" s="3">
        <f>IF('Heure par heure'!C8="","",'Heure par heure'!C8-N('Heure par heure'!C7))</f>
        <v/>
      </c>
      <c r="C8" s="3">
        <f>IF('Heure par heure'!D8="","",'Heure par heure'!D8-N('Heure par heure'!D7))</f>
        <v/>
      </c>
      <c r="D8" s="3">
        <f>IF('Heure par heure'!E8="","",'Heure par heure'!E8-N('Heure par heure'!E7))</f>
        <v/>
      </c>
      <c r="E8" s="3">
        <f>IF('Heure par heure'!F8="","",'Heure par heure'!F8-N('Heure par heure'!F7))</f>
        <v/>
      </c>
      <c r="F8" s="3">
        <f>IF('Heure par heure'!G8="","",'Heure par heure'!G8-N('Heure par heure'!G7))</f>
        <v/>
      </c>
      <c r="G8" s="3">
        <f>IF('Heure par heure'!H8="","",'Heure par heure'!H8-N('Heure par heure'!H7))</f>
        <v/>
      </c>
      <c r="H8" s="3">
        <f>IF('Heure par heure'!I8="","",'Heure par heure'!I8-N('Heure par heure'!I7))</f>
        <v/>
      </c>
      <c r="I8" s="3">
        <f>IF('Heure par heure'!J8="","",'Heure par heure'!J8-N('Heure par heure'!J7))</f>
        <v/>
      </c>
      <c r="J8" s="3">
        <f>IF('Heure par heure'!K8="","",'Heure par heure'!K8-N('Heure par heure'!K7))</f>
        <v/>
      </c>
      <c r="K8" s="3">
        <f>IF('Heure par heure'!L8="","",'Heure par heure'!L8-N('Heure par heure'!L7))</f>
        <v/>
      </c>
      <c r="L8" s="3">
        <f>SUM(B8:K8)</f>
        <v/>
      </c>
    </row>
    <row r="9">
      <c r="A9" s="2">
        <f>'Heure par heure'!A9</f>
        <v/>
      </c>
      <c r="B9" s="3">
        <f>IF('Heure par heure'!C9="","",'Heure par heure'!C9-N('Heure par heure'!C8))</f>
        <v/>
      </c>
      <c r="C9" s="3">
        <f>IF('Heure par heure'!D9="","",'Heure par heure'!D9-N('Heure par heure'!D8))</f>
        <v/>
      </c>
      <c r="D9" s="3">
        <f>IF('Heure par heure'!E9="","",'Heure par heure'!E9-N('Heure par heure'!E8))</f>
        <v/>
      </c>
      <c r="E9" s="3">
        <f>IF('Heure par heure'!F9="","",'Heure par heure'!F9-N('Heure par heure'!F8))</f>
        <v/>
      </c>
      <c r="F9" s="3">
        <f>IF('Heure par heure'!G9="","",'Heure par heure'!G9-N('Heure par heure'!G8))</f>
        <v/>
      </c>
      <c r="G9" s="3">
        <f>IF('Heure par heure'!H9="","",'Heure par heure'!H9-N('Heure par heure'!H8))</f>
        <v/>
      </c>
      <c r="H9" s="3">
        <f>IF('Heure par heure'!I9="","",'Heure par heure'!I9-N('Heure par heure'!I8))</f>
        <v/>
      </c>
      <c r="I9" s="3">
        <f>IF('Heure par heure'!J9="","",'Heure par heure'!J9-N('Heure par heure'!J8))</f>
        <v/>
      </c>
      <c r="J9" s="3">
        <f>IF('Heure par heure'!K9="","",'Heure par heure'!K9-N('Heure par heure'!K8))</f>
        <v/>
      </c>
      <c r="K9" s="3">
        <f>IF('Heure par heure'!L9="","",'Heure par heure'!L9-N('Heure par heure'!L8))</f>
        <v/>
      </c>
      <c r="L9" s="3">
        <f>SUM(B9:K9)</f>
        <v/>
      </c>
    </row>
    <row r="10">
      <c r="A10" s="2">
        <f>'Heure par heure'!A10</f>
        <v/>
      </c>
      <c r="B10" s="3">
        <f>IF('Heure par heure'!C10="","",'Heure par heure'!C10-N('Heure par heure'!C9))</f>
        <v/>
      </c>
      <c r="C10" s="3">
        <f>IF('Heure par heure'!D10="","",'Heure par heure'!D10-N('Heure par heure'!D9))</f>
        <v/>
      </c>
      <c r="D10" s="3">
        <f>IF('Heure par heure'!E10="","",'Heure par heure'!E10-N('Heure par heure'!E9))</f>
        <v/>
      </c>
      <c r="E10" s="3">
        <f>IF('Heure par heure'!F10="","",'Heure par heure'!F10-N('Heure par heure'!F9))</f>
        <v/>
      </c>
      <c r="F10" s="3">
        <f>IF('Heure par heure'!G10="","",'Heure par heure'!G10-N('Heure par heure'!G9))</f>
        <v/>
      </c>
      <c r="G10" s="3">
        <f>IF('Heure par heure'!H10="","",'Heure par heure'!H10-N('Heure par heure'!H9))</f>
        <v/>
      </c>
      <c r="H10" s="3">
        <f>IF('Heure par heure'!I10="","",'Heure par heure'!I10-N('Heure par heure'!I9))</f>
        <v/>
      </c>
      <c r="I10" s="3">
        <f>IF('Heure par heure'!J10="","",'Heure par heure'!J10-N('Heure par heure'!J9))</f>
        <v/>
      </c>
      <c r="J10" s="3">
        <f>IF('Heure par heure'!K10="","",'Heure par heure'!K10-N('Heure par heure'!K9))</f>
        <v/>
      </c>
      <c r="K10" s="3">
        <f>IF('Heure par heure'!L10="","",'Heure par heure'!L10-N('Heure par heure'!L9))</f>
        <v/>
      </c>
      <c r="L10" s="3">
        <f>SUM(B10:K10)</f>
        <v/>
      </c>
    </row>
    <row r="11">
      <c r="A11" s="2">
        <f>'Heure par heure'!A11</f>
        <v/>
      </c>
      <c r="B11" s="3">
        <f>IF('Heure par heure'!C11="","",'Heure par heure'!C11-N('Heure par heure'!C10))</f>
        <v/>
      </c>
      <c r="C11" s="3">
        <f>IF('Heure par heure'!D11="","",'Heure par heure'!D11-N('Heure par heure'!D10))</f>
        <v/>
      </c>
      <c r="D11" s="3">
        <f>IF('Heure par heure'!E11="","",'Heure par heure'!E11-N('Heure par heure'!E10))</f>
        <v/>
      </c>
      <c r="E11" s="3">
        <f>IF('Heure par heure'!F11="","",'Heure par heure'!F11-N('Heure par heure'!F10))</f>
        <v/>
      </c>
      <c r="F11" s="3">
        <f>IF('Heure par heure'!G11="","",'Heure par heure'!G11-N('Heure par heure'!G10))</f>
        <v/>
      </c>
      <c r="G11" s="3">
        <f>IF('Heure par heure'!H11="","",'Heure par heure'!H11-N('Heure par heure'!H10))</f>
        <v/>
      </c>
      <c r="H11" s="3">
        <f>IF('Heure par heure'!I11="","",'Heure par heure'!I11-N('Heure par heure'!I10))</f>
        <v/>
      </c>
      <c r="I11" s="3">
        <f>IF('Heure par heure'!J11="","",'Heure par heure'!J11-N('Heure par heure'!J10))</f>
        <v/>
      </c>
      <c r="J11" s="3">
        <f>IF('Heure par heure'!K11="","",'Heure par heure'!K11-N('Heure par heure'!K10))</f>
        <v/>
      </c>
      <c r="K11" s="3">
        <f>IF('Heure par heure'!L11="","",'Heure par heure'!L11-N('Heure par heure'!L10))</f>
        <v/>
      </c>
      <c r="L11" s="3">
        <f>SUM(B11:K11)</f>
        <v/>
      </c>
    </row>
    <row r="12">
      <c r="A12" s="2">
        <f>'Heure par heure'!A12</f>
        <v/>
      </c>
      <c r="B12" s="3">
        <f>IF('Heure par heure'!C12="","",'Heure par heure'!C12-N('Heure par heure'!C11))</f>
        <v/>
      </c>
      <c r="C12" s="3">
        <f>IF('Heure par heure'!D12="","",'Heure par heure'!D12-N('Heure par heure'!D11))</f>
        <v/>
      </c>
      <c r="D12" s="3">
        <f>IF('Heure par heure'!E12="","",'Heure par heure'!E12-N('Heure par heure'!E11))</f>
        <v/>
      </c>
      <c r="E12" s="3">
        <f>IF('Heure par heure'!F12="","",'Heure par heure'!F12-N('Heure par heure'!F11))</f>
        <v/>
      </c>
      <c r="F12" s="3">
        <f>IF('Heure par heure'!G12="","",'Heure par heure'!G12-N('Heure par heure'!G11))</f>
        <v/>
      </c>
      <c r="G12" s="3">
        <f>IF('Heure par heure'!H12="","",'Heure par heure'!H12-N('Heure par heure'!H11))</f>
        <v/>
      </c>
      <c r="H12" s="3">
        <f>IF('Heure par heure'!I12="","",'Heure par heure'!I12-N('Heure par heure'!I11))</f>
        <v/>
      </c>
      <c r="I12" s="3">
        <f>IF('Heure par heure'!J12="","",'Heure par heure'!J12-N('Heure par heure'!J11))</f>
        <v/>
      </c>
      <c r="J12" s="3">
        <f>IF('Heure par heure'!K12="","",'Heure par heure'!K12-N('Heure par heure'!K11))</f>
        <v/>
      </c>
      <c r="K12" s="3">
        <f>IF('Heure par heure'!L12="","",'Heure par heure'!L12-N('Heure par heure'!L11))</f>
        <v/>
      </c>
      <c r="L12" s="3">
        <f>SUM(B12:K12)</f>
        <v/>
      </c>
    </row>
    <row r="13">
      <c r="A13" s="2">
        <f>'Heure par heure'!A13</f>
        <v/>
      </c>
      <c r="B13" s="3">
        <f>IF('Heure par heure'!C13="","",'Heure par heure'!C13-N('Heure par heure'!C12))</f>
        <v/>
      </c>
      <c r="C13" s="3">
        <f>IF('Heure par heure'!D13="","",'Heure par heure'!D13-N('Heure par heure'!D12))</f>
        <v/>
      </c>
      <c r="D13" s="3">
        <f>IF('Heure par heure'!E13="","",'Heure par heure'!E13-N('Heure par heure'!E12))</f>
        <v/>
      </c>
      <c r="E13" s="3">
        <f>IF('Heure par heure'!F13="","",'Heure par heure'!F13-N('Heure par heure'!F12))</f>
        <v/>
      </c>
      <c r="F13" s="3">
        <f>IF('Heure par heure'!G13="","",'Heure par heure'!G13-N('Heure par heure'!G12))</f>
        <v/>
      </c>
      <c r="G13" s="3">
        <f>IF('Heure par heure'!H13="","",'Heure par heure'!H13-N('Heure par heure'!H12))</f>
        <v/>
      </c>
      <c r="H13" s="3">
        <f>IF('Heure par heure'!I13="","",'Heure par heure'!I13-N('Heure par heure'!I12))</f>
        <v/>
      </c>
      <c r="I13" s="3">
        <f>IF('Heure par heure'!J13="","",'Heure par heure'!J13-N('Heure par heure'!J12))</f>
        <v/>
      </c>
      <c r="J13" s="3">
        <f>IF('Heure par heure'!K13="","",'Heure par heure'!K13-N('Heure par heure'!K12))</f>
        <v/>
      </c>
      <c r="K13" s="3">
        <f>IF('Heure par heure'!L13="","",'Heure par heure'!L13-N('Heure par heure'!L12))</f>
        <v/>
      </c>
      <c r="L13" s="3">
        <f>SUM(B13:K13)</f>
        <v/>
      </c>
    </row>
    <row r="14">
      <c r="A14" s="2">
        <f>'Heure par heure'!A14</f>
        <v/>
      </c>
      <c r="B14" s="3">
        <f>IF('Heure par heure'!C14="","",'Heure par heure'!C14-N('Heure par heure'!C13))</f>
        <v/>
      </c>
      <c r="C14" s="3">
        <f>IF('Heure par heure'!D14="","",'Heure par heure'!D14-N('Heure par heure'!D13))</f>
        <v/>
      </c>
      <c r="D14" s="3">
        <f>IF('Heure par heure'!E14="","",'Heure par heure'!E14-N('Heure par heure'!E13))</f>
        <v/>
      </c>
      <c r="E14" s="3">
        <f>IF('Heure par heure'!F14="","",'Heure par heure'!F14-N('Heure par heure'!F13))</f>
        <v/>
      </c>
      <c r="F14" s="3">
        <f>IF('Heure par heure'!G14="","",'Heure par heure'!G14-N('Heure par heure'!G13))</f>
        <v/>
      </c>
      <c r="G14" s="3">
        <f>IF('Heure par heure'!H14="","",'Heure par heure'!H14-N('Heure par heure'!H13))</f>
        <v/>
      </c>
      <c r="H14" s="3">
        <f>IF('Heure par heure'!I14="","",'Heure par heure'!I14-N('Heure par heure'!I13))</f>
        <v/>
      </c>
      <c r="I14" s="3">
        <f>IF('Heure par heure'!J14="","",'Heure par heure'!J14-N('Heure par heure'!J13))</f>
        <v/>
      </c>
      <c r="J14" s="3">
        <f>IF('Heure par heure'!K14="","",'Heure par heure'!K14-N('Heure par heure'!K13))</f>
        <v/>
      </c>
      <c r="K14" s="3">
        <f>IF('Heure par heure'!L14="","",'Heure par heure'!L14-N('Heure par heure'!L13))</f>
        <v/>
      </c>
      <c r="L14" s="3">
        <f>SUM(B14:K14)</f>
        <v/>
      </c>
    </row>
    <row r="15">
      <c r="A15" s="2">
        <f>'Heure par heure'!A15</f>
        <v/>
      </c>
      <c r="B15" s="3">
        <f>IF('Heure par heure'!C15="","",'Heure par heure'!C15-N('Heure par heure'!C14))</f>
        <v/>
      </c>
      <c r="C15" s="3">
        <f>IF('Heure par heure'!D15="","",'Heure par heure'!D15-N('Heure par heure'!D14))</f>
        <v/>
      </c>
      <c r="D15" s="3">
        <f>IF('Heure par heure'!E15="","",'Heure par heure'!E15-N('Heure par heure'!E14))</f>
        <v/>
      </c>
      <c r="E15" s="3">
        <f>IF('Heure par heure'!F15="","",'Heure par heure'!F15-N('Heure par heure'!F14))</f>
        <v/>
      </c>
      <c r="F15" s="3">
        <f>IF('Heure par heure'!G15="","",'Heure par heure'!G15-N('Heure par heure'!G14))</f>
        <v/>
      </c>
      <c r="G15" s="3">
        <f>IF('Heure par heure'!H15="","",'Heure par heure'!H15-N('Heure par heure'!H14))</f>
        <v/>
      </c>
      <c r="H15" s="3">
        <f>IF('Heure par heure'!I15="","",'Heure par heure'!I15-N('Heure par heure'!I14))</f>
        <v/>
      </c>
      <c r="I15" s="3">
        <f>IF('Heure par heure'!J15="","",'Heure par heure'!J15-N('Heure par heure'!J14))</f>
        <v/>
      </c>
      <c r="J15" s="3">
        <f>IF('Heure par heure'!K15="","",'Heure par heure'!K15-N('Heure par heure'!K14))</f>
        <v/>
      </c>
      <c r="K15" s="3">
        <f>IF('Heure par heure'!L15="","",'Heure par heure'!L15-N('Heure par heure'!L14))</f>
        <v/>
      </c>
      <c r="L15" s="3">
        <f>SUM(B15:K15)</f>
        <v/>
      </c>
    </row>
    <row r="16">
      <c r="A16" s="2">
        <f>'Heure par heure'!A16</f>
        <v/>
      </c>
      <c r="B16" s="3">
        <f>IF('Heure par heure'!C16="","",'Heure par heure'!C16-N('Heure par heure'!C15))</f>
        <v/>
      </c>
      <c r="C16" s="3">
        <f>IF('Heure par heure'!D16="","",'Heure par heure'!D16-N('Heure par heure'!D15))</f>
        <v/>
      </c>
      <c r="D16" s="3">
        <f>IF('Heure par heure'!E16="","",'Heure par heure'!E16-N('Heure par heure'!E15))</f>
        <v/>
      </c>
      <c r="E16" s="3">
        <f>IF('Heure par heure'!F16="","",'Heure par heure'!F16-N('Heure par heure'!F15))</f>
        <v/>
      </c>
      <c r="F16" s="3">
        <f>IF('Heure par heure'!G16="","",'Heure par heure'!G16-N('Heure par heure'!G15))</f>
        <v/>
      </c>
      <c r="G16" s="3">
        <f>IF('Heure par heure'!H16="","",'Heure par heure'!H16-N('Heure par heure'!H15))</f>
        <v/>
      </c>
      <c r="H16" s="3">
        <f>IF('Heure par heure'!I16="","",'Heure par heure'!I16-N('Heure par heure'!I15))</f>
        <v/>
      </c>
      <c r="I16" s="3">
        <f>IF('Heure par heure'!J16="","",'Heure par heure'!J16-N('Heure par heure'!J15))</f>
        <v/>
      </c>
      <c r="J16" s="3">
        <f>IF('Heure par heure'!K16="","",'Heure par heure'!K16-N('Heure par heure'!K15))</f>
        <v/>
      </c>
      <c r="K16" s="3">
        <f>IF('Heure par heure'!L16="","",'Heure par heure'!L16-N('Heure par heure'!L15))</f>
        <v/>
      </c>
      <c r="L16" s="3">
        <f>SUM(B16:K16)</f>
        <v/>
      </c>
    </row>
    <row r="17">
      <c r="A17" s="2">
        <f>'Heure par heure'!A17</f>
        <v/>
      </c>
      <c r="B17" s="3">
        <f>IF('Heure par heure'!C17="","",'Heure par heure'!C17-N('Heure par heure'!C16))</f>
        <v/>
      </c>
      <c r="C17" s="3">
        <f>IF('Heure par heure'!D17="","",'Heure par heure'!D17-N('Heure par heure'!D16))</f>
        <v/>
      </c>
      <c r="D17" s="3">
        <f>IF('Heure par heure'!E17="","",'Heure par heure'!E17-N('Heure par heure'!E16))</f>
        <v/>
      </c>
      <c r="E17" s="3">
        <f>IF('Heure par heure'!F17="","",'Heure par heure'!F17-N('Heure par heure'!F16))</f>
        <v/>
      </c>
      <c r="F17" s="3">
        <f>IF('Heure par heure'!G17="","",'Heure par heure'!G17-N('Heure par heure'!G16))</f>
        <v/>
      </c>
      <c r="G17" s="3">
        <f>IF('Heure par heure'!H17="","",'Heure par heure'!H17-N('Heure par heure'!H16))</f>
        <v/>
      </c>
      <c r="H17" s="3">
        <f>IF('Heure par heure'!I17="","",'Heure par heure'!I17-N('Heure par heure'!I16))</f>
        <v/>
      </c>
      <c r="I17" s="3">
        <f>IF('Heure par heure'!J17="","",'Heure par heure'!J17-N('Heure par heure'!J16))</f>
        <v/>
      </c>
      <c r="J17" s="3">
        <f>IF('Heure par heure'!K17="","",'Heure par heure'!K17-N('Heure par heure'!K16))</f>
        <v/>
      </c>
      <c r="K17" s="3">
        <f>IF('Heure par heure'!L17="","",'Heure par heure'!L17-N('Heure par heure'!L16))</f>
        <v/>
      </c>
      <c r="L17" s="3">
        <f>SUM(B17:K17)</f>
        <v/>
      </c>
    </row>
    <row r="18">
      <c r="A18" s="2">
        <f>'Heure par heure'!A18</f>
        <v/>
      </c>
      <c r="B18" s="3">
        <f>IF('Heure par heure'!C18="","",'Heure par heure'!C18-N('Heure par heure'!C17))</f>
        <v/>
      </c>
      <c r="C18" s="3">
        <f>IF('Heure par heure'!D18="","",'Heure par heure'!D18-N('Heure par heure'!D17))</f>
        <v/>
      </c>
      <c r="D18" s="3">
        <f>IF('Heure par heure'!E18="","",'Heure par heure'!E18-N('Heure par heure'!E17))</f>
        <v/>
      </c>
      <c r="E18" s="3">
        <f>IF('Heure par heure'!F18="","",'Heure par heure'!F18-N('Heure par heure'!F17))</f>
        <v/>
      </c>
      <c r="F18" s="3">
        <f>IF('Heure par heure'!G18="","",'Heure par heure'!G18-N('Heure par heure'!G17))</f>
        <v/>
      </c>
      <c r="G18" s="3">
        <f>IF('Heure par heure'!H18="","",'Heure par heure'!H18-N('Heure par heure'!H17))</f>
        <v/>
      </c>
      <c r="H18" s="3">
        <f>IF('Heure par heure'!I18="","",'Heure par heure'!I18-N('Heure par heure'!I17))</f>
        <v/>
      </c>
      <c r="I18" s="3">
        <f>IF('Heure par heure'!J18="","",'Heure par heure'!J18-N('Heure par heure'!J17))</f>
        <v/>
      </c>
      <c r="J18" s="3">
        <f>IF('Heure par heure'!K18="","",'Heure par heure'!K18-N('Heure par heure'!K17))</f>
        <v/>
      </c>
      <c r="K18" s="3">
        <f>IF('Heure par heure'!L18="","",'Heure par heure'!L18-N('Heure par heure'!L17))</f>
        <v/>
      </c>
      <c r="L18" s="3">
        <f>SUM(B18:K18)</f>
        <v/>
      </c>
    </row>
    <row r="19">
      <c r="A19" s="2">
        <f>'Heure par heure'!A19</f>
        <v/>
      </c>
      <c r="B19" s="3">
        <f>IF('Heure par heure'!C19="","",'Heure par heure'!C19-N('Heure par heure'!C18))</f>
        <v/>
      </c>
      <c r="C19" s="3">
        <f>IF('Heure par heure'!D19="","",'Heure par heure'!D19-N('Heure par heure'!D18))</f>
        <v/>
      </c>
      <c r="D19" s="3">
        <f>IF('Heure par heure'!E19="","",'Heure par heure'!E19-N('Heure par heure'!E18))</f>
        <v/>
      </c>
      <c r="E19" s="3">
        <f>IF('Heure par heure'!F19="","",'Heure par heure'!F19-N('Heure par heure'!F18))</f>
        <v/>
      </c>
      <c r="F19" s="3">
        <f>IF('Heure par heure'!G19="","",'Heure par heure'!G19-N('Heure par heure'!G18))</f>
        <v/>
      </c>
      <c r="G19" s="3">
        <f>IF('Heure par heure'!H19="","",'Heure par heure'!H19-N('Heure par heure'!H18))</f>
        <v/>
      </c>
      <c r="H19" s="3">
        <f>IF('Heure par heure'!I19="","",'Heure par heure'!I19-N('Heure par heure'!I18))</f>
        <v/>
      </c>
      <c r="I19" s="3">
        <f>IF('Heure par heure'!J19="","",'Heure par heure'!J19-N('Heure par heure'!J18))</f>
        <v/>
      </c>
      <c r="J19" s="3">
        <f>IF('Heure par heure'!K19="","",'Heure par heure'!K19-N('Heure par heure'!K18))</f>
        <v/>
      </c>
      <c r="K19" s="3">
        <f>IF('Heure par heure'!L19="","",'Heure par heure'!L19-N('Heure par heure'!L18))</f>
        <v/>
      </c>
      <c r="L19" s="3">
        <f>SUM(B19:K19)</f>
        <v/>
      </c>
    </row>
    <row r="20">
      <c r="A20" s="2">
        <f>'Heure par heure'!A20</f>
        <v/>
      </c>
      <c r="B20" s="3">
        <f>IF('Heure par heure'!C20="","",'Heure par heure'!C20-N('Heure par heure'!C19))</f>
        <v/>
      </c>
      <c r="C20" s="3">
        <f>IF('Heure par heure'!D20="","",'Heure par heure'!D20-N('Heure par heure'!D19))</f>
        <v/>
      </c>
      <c r="D20" s="3">
        <f>IF('Heure par heure'!E20="","",'Heure par heure'!E20-N('Heure par heure'!E19))</f>
        <v/>
      </c>
      <c r="E20" s="3">
        <f>IF('Heure par heure'!F20="","",'Heure par heure'!F20-N('Heure par heure'!F19))</f>
        <v/>
      </c>
      <c r="F20" s="3">
        <f>IF('Heure par heure'!G20="","",'Heure par heure'!G20-N('Heure par heure'!G19))</f>
        <v/>
      </c>
      <c r="G20" s="3">
        <f>IF('Heure par heure'!H20="","",'Heure par heure'!H20-N('Heure par heure'!H19))</f>
        <v/>
      </c>
      <c r="H20" s="3">
        <f>IF('Heure par heure'!I20="","",'Heure par heure'!I20-N('Heure par heure'!I19))</f>
        <v/>
      </c>
      <c r="I20" s="3">
        <f>IF('Heure par heure'!J20="","",'Heure par heure'!J20-N('Heure par heure'!J19))</f>
        <v/>
      </c>
      <c r="J20" s="3">
        <f>IF('Heure par heure'!K20="","",'Heure par heure'!K20-N('Heure par heure'!K19))</f>
        <v/>
      </c>
      <c r="K20" s="3">
        <f>IF('Heure par heure'!L20="","",'Heure par heure'!L20-N('Heure par heure'!L19))</f>
        <v/>
      </c>
      <c r="L20" s="3">
        <f>SUM(B20:K20)</f>
        <v/>
      </c>
    </row>
    <row r="21">
      <c r="A21" s="2">
        <f>'Heure par heure'!A21</f>
        <v/>
      </c>
      <c r="B21" s="3">
        <f>IF('Heure par heure'!C21="","",'Heure par heure'!C21-N('Heure par heure'!C20))</f>
        <v/>
      </c>
      <c r="C21" s="3">
        <f>IF('Heure par heure'!D21="","",'Heure par heure'!D21-N('Heure par heure'!D20))</f>
        <v/>
      </c>
      <c r="D21" s="3">
        <f>IF('Heure par heure'!E21="","",'Heure par heure'!E21-N('Heure par heure'!E20))</f>
        <v/>
      </c>
      <c r="E21" s="3">
        <f>IF('Heure par heure'!F21="","",'Heure par heure'!F21-N('Heure par heure'!F20))</f>
        <v/>
      </c>
      <c r="F21" s="3">
        <f>IF('Heure par heure'!G21="","",'Heure par heure'!G21-N('Heure par heure'!G20))</f>
        <v/>
      </c>
      <c r="G21" s="3">
        <f>IF('Heure par heure'!H21="","",'Heure par heure'!H21-N('Heure par heure'!H20))</f>
        <v/>
      </c>
      <c r="H21" s="3">
        <f>IF('Heure par heure'!I21="","",'Heure par heure'!I21-N('Heure par heure'!I20))</f>
        <v/>
      </c>
      <c r="I21" s="3">
        <f>IF('Heure par heure'!J21="","",'Heure par heure'!J21-N('Heure par heure'!J20))</f>
        <v/>
      </c>
      <c r="J21" s="3">
        <f>IF('Heure par heure'!K21="","",'Heure par heure'!K21-N('Heure par heure'!K20))</f>
        <v/>
      </c>
      <c r="K21" s="3">
        <f>IF('Heure par heure'!L21="","",'Heure par heure'!L21-N('Heure par heure'!L20))</f>
        <v/>
      </c>
      <c r="L21" s="3">
        <f>SUM(B21:K21)</f>
        <v/>
      </c>
    </row>
    <row r="22">
      <c r="A22" s="2">
        <f>'Heure par heure'!A22</f>
        <v/>
      </c>
      <c r="B22" s="3">
        <f>IF('Heure par heure'!C22="","",'Heure par heure'!C22-N('Heure par heure'!C21))</f>
        <v/>
      </c>
      <c r="C22" s="3">
        <f>IF('Heure par heure'!D22="","",'Heure par heure'!D22-N('Heure par heure'!D21))</f>
        <v/>
      </c>
      <c r="D22" s="3">
        <f>IF('Heure par heure'!E22="","",'Heure par heure'!E22-N('Heure par heure'!E21))</f>
        <v/>
      </c>
      <c r="E22" s="3">
        <f>IF('Heure par heure'!F22="","",'Heure par heure'!F22-N('Heure par heure'!F21))</f>
        <v/>
      </c>
      <c r="F22" s="3">
        <f>IF('Heure par heure'!G22="","",'Heure par heure'!G22-N('Heure par heure'!G21))</f>
        <v/>
      </c>
      <c r="G22" s="3">
        <f>IF('Heure par heure'!H22="","",'Heure par heure'!H22-N('Heure par heure'!H21))</f>
        <v/>
      </c>
      <c r="H22" s="3">
        <f>IF('Heure par heure'!I22="","",'Heure par heure'!I22-N('Heure par heure'!I21))</f>
        <v/>
      </c>
      <c r="I22" s="3">
        <f>IF('Heure par heure'!J22="","",'Heure par heure'!J22-N('Heure par heure'!J21))</f>
        <v/>
      </c>
      <c r="J22" s="3">
        <f>IF('Heure par heure'!K22="","",'Heure par heure'!K22-N('Heure par heure'!K21))</f>
        <v/>
      </c>
      <c r="K22" s="3">
        <f>IF('Heure par heure'!L22="","",'Heure par heure'!L22-N('Heure par heure'!L21))</f>
        <v/>
      </c>
      <c r="L22" s="3">
        <f>SUM(B22:K22)</f>
        <v/>
      </c>
    </row>
    <row r="23">
      <c r="A23" s="2">
        <f>'Heure par heure'!A23</f>
        <v/>
      </c>
      <c r="B23" s="3">
        <f>IF('Heure par heure'!C23="","",'Heure par heure'!C23-N('Heure par heure'!C22))</f>
        <v/>
      </c>
      <c r="C23" s="3">
        <f>IF('Heure par heure'!D23="","",'Heure par heure'!D23-N('Heure par heure'!D22))</f>
        <v/>
      </c>
      <c r="D23" s="3">
        <f>IF('Heure par heure'!E23="","",'Heure par heure'!E23-N('Heure par heure'!E22))</f>
        <v/>
      </c>
      <c r="E23" s="3">
        <f>IF('Heure par heure'!F23="","",'Heure par heure'!F23-N('Heure par heure'!F22))</f>
        <v/>
      </c>
      <c r="F23" s="3">
        <f>IF('Heure par heure'!G23="","",'Heure par heure'!G23-N('Heure par heure'!G22))</f>
        <v/>
      </c>
      <c r="G23" s="3">
        <f>IF('Heure par heure'!H23="","",'Heure par heure'!H23-N('Heure par heure'!H22))</f>
        <v/>
      </c>
      <c r="H23" s="3">
        <f>IF('Heure par heure'!I23="","",'Heure par heure'!I23-N('Heure par heure'!I22))</f>
        <v/>
      </c>
      <c r="I23" s="3">
        <f>IF('Heure par heure'!J23="","",'Heure par heure'!J23-N('Heure par heure'!J22))</f>
        <v/>
      </c>
      <c r="J23" s="3">
        <f>IF('Heure par heure'!K23="","",'Heure par heure'!K23-N('Heure par heure'!K22))</f>
        <v/>
      </c>
      <c r="K23" s="3">
        <f>IF('Heure par heure'!L23="","",'Heure par heure'!L23-N('Heure par heure'!L22))</f>
        <v/>
      </c>
      <c r="L23" s="3">
        <f>SUM(B23:K23)</f>
        <v/>
      </c>
    </row>
    <row r="24">
      <c r="A24" s="2">
        <f>'Heure par heure'!A24</f>
        <v/>
      </c>
      <c r="B24" s="3">
        <f>IF('Heure par heure'!C24="","",'Heure par heure'!C24-N('Heure par heure'!C23))</f>
        <v/>
      </c>
      <c r="C24" s="3">
        <f>IF('Heure par heure'!D24="","",'Heure par heure'!D24-N('Heure par heure'!D23))</f>
        <v/>
      </c>
      <c r="D24" s="3">
        <f>IF('Heure par heure'!E24="","",'Heure par heure'!E24-N('Heure par heure'!E23))</f>
        <v/>
      </c>
      <c r="E24" s="3">
        <f>IF('Heure par heure'!F24="","",'Heure par heure'!F24-N('Heure par heure'!F23))</f>
        <v/>
      </c>
      <c r="F24" s="3">
        <f>IF('Heure par heure'!G24="","",'Heure par heure'!G24-N('Heure par heure'!G23))</f>
        <v/>
      </c>
      <c r="G24" s="3">
        <f>IF('Heure par heure'!H24="","",'Heure par heure'!H24-N('Heure par heure'!H23))</f>
        <v/>
      </c>
      <c r="H24" s="3">
        <f>IF('Heure par heure'!I24="","",'Heure par heure'!I24-N('Heure par heure'!I23))</f>
        <v/>
      </c>
      <c r="I24" s="3">
        <f>IF('Heure par heure'!J24="","",'Heure par heure'!J24-N('Heure par heure'!J23))</f>
        <v/>
      </c>
      <c r="J24" s="3">
        <f>IF('Heure par heure'!K24="","",'Heure par heure'!K24-N('Heure par heure'!K23))</f>
        <v/>
      </c>
      <c r="K24" s="3">
        <f>IF('Heure par heure'!L24="","",'Heure par heure'!L24-N('Heure par heure'!L23))</f>
        <v/>
      </c>
      <c r="L24" s="3">
        <f>SUM(B24:K24)</f>
        <v/>
      </c>
    </row>
    <row r="25">
      <c r="A25" s="2">
        <f>'Heure par heure'!A25</f>
        <v/>
      </c>
      <c r="B25" s="3">
        <f>IF('Heure par heure'!C25="","",'Heure par heure'!C25-N('Heure par heure'!C24))</f>
        <v/>
      </c>
      <c r="C25" s="3">
        <f>IF('Heure par heure'!D25="","",'Heure par heure'!D25-N('Heure par heure'!D24))</f>
        <v/>
      </c>
      <c r="D25" s="3">
        <f>IF('Heure par heure'!E25="","",'Heure par heure'!E25-N('Heure par heure'!E24))</f>
        <v/>
      </c>
      <c r="E25" s="3">
        <f>IF('Heure par heure'!F25="","",'Heure par heure'!F25-N('Heure par heure'!F24))</f>
        <v/>
      </c>
      <c r="F25" s="3">
        <f>IF('Heure par heure'!G25="","",'Heure par heure'!G25-N('Heure par heure'!G24))</f>
        <v/>
      </c>
      <c r="G25" s="3">
        <f>IF('Heure par heure'!H25="","",'Heure par heure'!H25-N('Heure par heure'!H24))</f>
        <v/>
      </c>
      <c r="H25" s="3">
        <f>IF('Heure par heure'!I25="","",'Heure par heure'!I25-N('Heure par heure'!I24))</f>
        <v/>
      </c>
      <c r="I25" s="3">
        <f>IF('Heure par heure'!J25="","",'Heure par heure'!J25-N('Heure par heure'!J24))</f>
        <v/>
      </c>
      <c r="J25" s="3">
        <f>IF('Heure par heure'!K25="","",'Heure par heure'!K25-N('Heure par heure'!K24))</f>
        <v/>
      </c>
      <c r="K25" s="3">
        <f>IF('Heure par heure'!L25="","",'Heure par heure'!L25-N('Heure par heure'!L24))</f>
        <v/>
      </c>
      <c r="L25" s="3">
        <f>SUM(B25:K25)</f>
        <v/>
      </c>
    </row>
    <row r="26">
      <c r="A26" s="2">
        <f>'Heure par heure'!A26</f>
        <v/>
      </c>
      <c r="B26" s="3">
        <f>IF('Heure par heure'!C26="","",'Heure par heure'!C26-N('Heure par heure'!C25))</f>
        <v/>
      </c>
      <c r="C26" s="3">
        <f>IF('Heure par heure'!D26="","",'Heure par heure'!D26-N('Heure par heure'!D25))</f>
        <v/>
      </c>
      <c r="D26" s="3">
        <f>IF('Heure par heure'!E26="","",'Heure par heure'!E26-N('Heure par heure'!E25))</f>
        <v/>
      </c>
      <c r="E26" s="3">
        <f>IF('Heure par heure'!F26="","",'Heure par heure'!F26-N('Heure par heure'!F25))</f>
        <v/>
      </c>
      <c r="F26" s="3">
        <f>IF('Heure par heure'!G26="","",'Heure par heure'!G26-N('Heure par heure'!G25))</f>
        <v/>
      </c>
      <c r="G26" s="3">
        <f>IF('Heure par heure'!H26="","",'Heure par heure'!H26-N('Heure par heure'!H25))</f>
        <v/>
      </c>
      <c r="H26" s="3">
        <f>IF('Heure par heure'!I26="","",'Heure par heure'!I26-N('Heure par heure'!I25))</f>
        <v/>
      </c>
      <c r="I26" s="3">
        <f>IF('Heure par heure'!J26="","",'Heure par heure'!J26-N('Heure par heure'!J25))</f>
        <v/>
      </c>
      <c r="J26" s="3">
        <f>IF('Heure par heure'!K26="","",'Heure par heure'!K26-N('Heure par heure'!K25))</f>
        <v/>
      </c>
      <c r="K26" s="3">
        <f>IF('Heure par heure'!L26="","",'Heure par heure'!L26-N('Heure par heure'!L25))</f>
        <v/>
      </c>
      <c r="L26" s="3">
        <f>SUM(B26:K26)</f>
        <v/>
      </c>
    </row>
    <row r="27">
      <c r="A27" s="2">
        <f>'Heure par heure'!A27</f>
        <v/>
      </c>
      <c r="B27" s="3">
        <f>IF('Heure par heure'!C27="","",'Heure par heure'!C27-N('Heure par heure'!C26))</f>
        <v/>
      </c>
      <c r="C27" s="3">
        <f>IF('Heure par heure'!D27="","",'Heure par heure'!D27-N('Heure par heure'!D26))</f>
        <v/>
      </c>
      <c r="D27" s="3">
        <f>IF('Heure par heure'!E27="","",'Heure par heure'!E27-N('Heure par heure'!E26))</f>
        <v/>
      </c>
      <c r="E27" s="3">
        <f>IF('Heure par heure'!F27="","",'Heure par heure'!F27-N('Heure par heure'!F26))</f>
        <v/>
      </c>
      <c r="F27" s="3">
        <f>IF('Heure par heure'!G27="","",'Heure par heure'!G27-N('Heure par heure'!G26))</f>
        <v/>
      </c>
      <c r="G27" s="3">
        <f>IF('Heure par heure'!H27="","",'Heure par heure'!H27-N('Heure par heure'!H26))</f>
        <v/>
      </c>
      <c r="H27" s="3">
        <f>IF('Heure par heure'!I27="","",'Heure par heure'!I27-N('Heure par heure'!I26))</f>
        <v/>
      </c>
      <c r="I27" s="3">
        <f>IF('Heure par heure'!J27="","",'Heure par heure'!J27-N('Heure par heure'!J26))</f>
        <v/>
      </c>
      <c r="J27" s="3">
        <f>IF('Heure par heure'!K27="","",'Heure par heure'!K27-N('Heure par heure'!K26))</f>
        <v/>
      </c>
      <c r="K27" s="3">
        <f>IF('Heure par heure'!L27="","",'Heure par heure'!L27-N('Heure par heure'!L26))</f>
        <v/>
      </c>
      <c r="L27" s="3">
        <f>SUM(B27:K27)</f>
        <v/>
      </c>
    </row>
    <row r="28">
      <c r="A28" s="2">
        <f>'Heure par heure'!A28</f>
        <v/>
      </c>
      <c r="B28" s="3">
        <f>IF('Heure par heure'!C28="","",'Heure par heure'!C28-N('Heure par heure'!C27))</f>
        <v/>
      </c>
      <c r="C28" s="3">
        <f>IF('Heure par heure'!D28="","",'Heure par heure'!D28-N('Heure par heure'!D27))</f>
        <v/>
      </c>
      <c r="D28" s="3">
        <f>IF('Heure par heure'!E28="","",'Heure par heure'!E28-N('Heure par heure'!E27))</f>
        <v/>
      </c>
      <c r="E28" s="3">
        <f>IF('Heure par heure'!F28="","",'Heure par heure'!F28-N('Heure par heure'!F27))</f>
        <v/>
      </c>
      <c r="F28" s="3">
        <f>IF('Heure par heure'!G28="","",'Heure par heure'!G28-N('Heure par heure'!G27))</f>
        <v/>
      </c>
      <c r="G28" s="3">
        <f>IF('Heure par heure'!H28="","",'Heure par heure'!H28-N('Heure par heure'!H27))</f>
        <v/>
      </c>
      <c r="H28" s="3">
        <f>IF('Heure par heure'!I28="","",'Heure par heure'!I28-N('Heure par heure'!I27))</f>
        <v/>
      </c>
      <c r="I28" s="3">
        <f>IF('Heure par heure'!J28="","",'Heure par heure'!J28-N('Heure par heure'!J27))</f>
        <v/>
      </c>
      <c r="J28" s="3">
        <f>IF('Heure par heure'!K28="","",'Heure par heure'!K28-N('Heure par heure'!K27))</f>
        <v/>
      </c>
      <c r="K28" s="3">
        <f>IF('Heure par heure'!L28="","",'Heure par heure'!L28-N('Heure par heure'!L27))</f>
        <v/>
      </c>
      <c r="L28" s="3">
        <f>SUM(B28:K28)</f>
        <v/>
      </c>
    </row>
    <row r="29">
      <c r="A29" s="2">
        <f>'Heure par heure'!A29</f>
        <v/>
      </c>
      <c r="B29" s="3">
        <f>IF('Heure par heure'!C29="","",'Heure par heure'!C29-N('Heure par heure'!C28))</f>
        <v/>
      </c>
      <c r="C29" s="3">
        <f>IF('Heure par heure'!D29="","",'Heure par heure'!D29-N('Heure par heure'!D28))</f>
        <v/>
      </c>
      <c r="D29" s="3">
        <f>IF('Heure par heure'!E29="","",'Heure par heure'!E29-N('Heure par heure'!E28))</f>
        <v/>
      </c>
      <c r="E29" s="3">
        <f>IF('Heure par heure'!F29="","",'Heure par heure'!F29-N('Heure par heure'!F28))</f>
        <v/>
      </c>
      <c r="F29" s="3">
        <f>IF('Heure par heure'!G29="","",'Heure par heure'!G29-N('Heure par heure'!G28))</f>
        <v/>
      </c>
      <c r="G29" s="3">
        <f>IF('Heure par heure'!H29="","",'Heure par heure'!H29-N('Heure par heure'!H28))</f>
        <v/>
      </c>
      <c r="H29" s="3">
        <f>IF('Heure par heure'!I29="","",'Heure par heure'!I29-N('Heure par heure'!I28))</f>
        <v/>
      </c>
      <c r="I29" s="3">
        <f>IF('Heure par heure'!J29="","",'Heure par heure'!J29-N('Heure par heure'!J28))</f>
        <v/>
      </c>
      <c r="J29" s="3">
        <f>IF('Heure par heure'!K29="","",'Heure par heure'!K29-N('Heure par heure'!K28))</f>
        <v/>
      </c>
      <c r="K29" s="3">
        <f>IF('Heure par heure'!L29="","",'Heure par heure'!L29-N('Heure par heure'!L28))</f>
        <v/>
      </c>
      <c r="L29" s="3">
        <f>SUM(B29:K29)</f>
        <v/>
      </c>
    </row>
    <row r="30">
      <c r="A30" s="2">
        <f>'Heure par heure'!A30</f>
        <v/>
      </c>
      <c r="B30" s="3">
        <f>IF('Heure par heure'!C30="","",'Heure par heure'!C30-N('Heure par heure'!C29))</f>
        <v/>
      </c>
      <c r="C30" s="3">
        <f>IF('Heure par heure'!D30="","",'Heure par heure'!D30-N('Heure par heure'!D29))</f>
        <v/>
      </c>
      <c r="D30" s="3">
        <f>IF('Heure par heure'!E30="","",'Heure par heure'!E30-N('Heure par heure'!E29))</f>
        <v/>
      </c>
      <c r="E30" s="3">
        <f>IF('Heure par heure'!F30="","",'Heure par heure'!F30-N('Heure par heure'!F29))</f>
        <v/>
      </c>
      <c r="F30" s="3">
        <f>IF('Heure par heure'!G30="","",'Heure par heure'!G30-N('Heure par heure'!G29))</f>
        <v/>
      </c>
      <c r="G30" s="3">
        <f>IF('Heure par heure'!H30="","",'Heure par heure'!H30-N('Heure par heure'!H29))</f>
        <v/>
      </c>
      <c r="H30" s="3">
        <f>IF('Heure par heure'!I30="","",'Heure par heure'!I30-N('Heure par heure'!I29))</f>
        <v/>
      </c>
      <c r="I30" s="3">
        <f>IF('Heure par heure'!J30="","",'Heure par heure'!J30-N('Heure par heure'!J29))</f>
        <v/>
      </c>
      <c r="J30" s="3">
        <f>IF('Heure par heure'!K30="","",'Heure par heure'!K30-N('Heure par heure'!K29))</f>
        <v/>
      </c>
      <c r="K30" s="3">
        <f>IF('Heure par heure'!L30="","",'Heure par heure'!L30-N('Heure par heure'!L29))</f>
        <v/>
      </c>
      <c r="L30" s="3">
        <f>SUM(B30:K30)</f>
        <v/>
      </c>
    </row>
    <row r="31">
      <c r="A31" s="2">
        <f>'Heure par heure'!A31</f>
        <v/>
      </c>
      <c r="B31" s="3">
        <f>IF('Heure par heure'!C31="","",'Heure par heure'!C31-N('Heure par heure'!C30))</f>
        <v/>
      </c>
      <c r="C31" s="3">
        <f>IF('Heure par heure'!D31="","",'Heure par heure'!D31-N('Heure par heure'!D30))</f>
        <v/>
      </c>
      <c r="D31" s="3">
        <f>IF('Heure par heure'!E31="","",'Heure par heure'!E31-N('Heure par heure'!E30))</f>
        <v/>
      </c>
      <c r="E31" s="3">
        <f>IF('Heure par heure'!F31="","",'Heure par heure'!F31-N('Heure par heure'!F30))</f>
        <v/>
      </c>
      <c r="F31" s="3">
        <f>IF('Heure par heure'!G31="","",'Heure par heure'!G31-N('Heure par heure'!G30))</f>
        <v/>
      </c>
      <c r="G31" s="3">
        <f>IF('Heure par heure'!H31="","",'Heure par heure'!H31-N('Heure par heure'!H30))</f>
        <v/>
      </c>
      <c r="H31" s="3">
        <f>IF('Heure par heure'!I31="","",'Heure par heure'!I31-N('Heure par heure'!I30))</f>
        <v/>
      </c>
      <c r="I31" s="3">
        <f>IF('Heure par heure'!J31="","",'Heure par heure'!J31-N('Heure par heure'!J30))</f>
        <v/>
      </c>
      <c r="J31" s="3">
        <f>IF('Heure par heure'!K31="","",'Heure par heure'!K31-N('Heure par heure'!K30))</f>
        <v/>
      </c>
      <c r="K31" s="3">
        <f>IF('Heure par heure'!L31="","",'Heure par heure'!L31-N('Heure par heure'!L30))</f>
        <v/>
      </c>
      <c r="L31" s="3">
        <f>SUM(B31:K31)</f>
        <v/>
      </c>
    </row>
    <row r="32">
      <c r="A32" s="2">
        <f>'Heure par heure'!A32</f>
        <v/>
      </c>
      <c r="B32" s="3">
        <f>IF('Heure par heure'!C32="","",'Heure par heure'!C32-N('Heure par heure'!C31))</f>
        <v/>
      </c>
      <c r="C32" s="3">
        <f>IF('Heure par heure'!D32="","",'Heure par heure'!D32-N('Heure par heure'!D31))</f>
        <v/>
      </c>
      <c r="D32" s="3">
        <f>IF('Heure par heure'!E32="","",'Heure par heure'!E32-N('Heure par heure'!E31))</f>
        <v/>
      </c>
      <c r="E32" s="3">
        <f>IF('Heure par heure'!F32="","",'Heure par heure'!F32-N('Heure par heure'!F31))</f>
        <v/>
      </c>
      <c r="F32" s="3">
        <f>IF('Heure par heure'!G32="","",'Heure par heure'!G32-N('Heure par heure'!G31))</f>
        <v/>
      </c>
      <c r="G32" s="3">
        <f>IF('Heure par heure'!H32="","",'Heure par heure'!H32-N('Heure par heure'!H31))</f>
        <v/>
      </c>
      <c r="H32" s="3">
        <f>IF('Heure par heure'!I32="","",'Heure par heure'!I32-N('Heure par heure'!I31))</f>
        <v/>
      </c>
      <c r="I32" s="3">
        <f>IF('Heure par heure'!J32="","",'Heure par heure'!J32-N('Heure par heure'!J31))</f>
        <v/>
      </c>
      <c r="J32" s="3">
        <f>IF('Heure par heure'!K32="","",'Heure par heure'!K32-N('Heure par heure'!K31))</f>
        <v/>
      </c>
      <c r="K32" s="3">
        <f>IF('Heure par heure'!L32="","",'Heure par heure'!L32-N('Heure par heure'!L31))</f>
        <v/>
      </c>
      <c r="L32" s="3">
        <f>SUM(B32:K32)</f>
        <v/>
      </c>
    </row>
    <row r="33">
      <c r="A33" s="2">
        <f>'Heure par heure'!A33</f>
        <v/>
      </c>
      <c r="B33" s="3">
        <f>IF('Heure par heure'!C33="","",'Heure par heure'!C33-N('Heure par heure'!C32))</f>
        <v/>
      </c>
      <c r="C33" s="3">
        <f>IF('Heure par heure'!D33="","",'Heure par heure'!D33-N('Heure par heure'!D32))</f>
        <v/>
      </c>
      <c r="D33" s="3">
        <f>IF('Heure par heure'!E33="","",'Heure par heure'!E33-N('Heure par heure'!E32))</f>
        <v/>
      </c>
      <c r="E33" s="3">
        <f>IF('Heure par heure'!F33="","",'Heure par heure'!F33-N('Heure par heure'!F32))</f>
        <v/>
      </c>
      <c r="F33" s="3">
        <f>IF('Heure par heure'!G33="","",'Heure par heure'!G33-N('Heure par heure'!G32))</f>
        <v/>
      </c>
      <c r="G33" s="3">
        <f>IF('Heure par heure'!H33="","",'Heure par heure'!H33-N('Heure par heure'!H32))</f>
        <v/>
      </c>
      <c r="H33" s="3">
        <f>IF('Heure par heure'!I33="","",'Heure par heure'!I33-N('Heure par heure'!I32))</f>
        <v/>
      </c>
      <c r="I33" s="3">
        <f>IF('Heure par heure'!J33="","",'Heure par heure'!J33-N('Heure par heure'!J32))</f>
        <v/>
      </c>
      <c r="J33" s="3">
        <f>IF('Heure par heure'!K33="","",'Heure par heure'!K33-N('Heure par heure'!K32))</f>
        <v/>
      </c>
      <c r="K33" s="3">
        <f>IF('Heure par heure'!L33="","",'Heure par heure'!L33-N('Heure par heure'!L32))</f>
        <v/>
      </c>
      <c r="L33" s="3">
        <f>SUM(B33:K33)</f>
        <v/>
      </c>
    </row>
    <row r="34">
      <c r="A34" s="2">
        <f>'Heure par heure'!A34</f>
        <v/>
      </c>
      <c r="B34" s="3">
        <f>IF('Heure par heure'!C34="","",'Heure par heure'!C34-N('Heure par heure'!C33))</f>
        <v/>
      </c>
      <c r="C34" s="3">
        <f>IF('Heure par heure'!D34="","",'Heure par heure'!D34-N('Heure par heure'!D33))</f>
        <v/>
      </c>
      <c r="D34" s="3">
        <f>IF('Heure par heure'!E34="","",'Heure par heure'!E34-N('Heure par heure'!E33))</f>
        <v/>
      </c>
      <c r="E34" s="3">
        <f>IF('Heure par heure'!F34="","",'Heure par heure'!F34-N('Heure par heure'!F33))</f>
        <v/>
      </c>
      <c r="F34" s="3">
        <f>IF('Heure par heure'!G34="","",'Heure par heure'!G34-N('Heure par heure'!G33))</f>
        <v/>
      </c>
      <c r="G34" s="3">
        <f>IF('Heure par heure'!H34="","",'Heure par heure'!H34-N('Heure par heure'!H33))</f>
        <v/>
      </c>
      <c r="H34" s="3">
        <f>IF('Heure par heure'!I34="","",'Heure par heure'!I34-N('Heure par heure'!I33))</f>
        <v/>
      </c>
      <c r="I34" s="3">
        <f>IF('Heure par heure'!J34="","",'Heure par heure'!J34-N('Heure par heure'!J33))</f>
        <v/>
      </c>
      <c r="J34" s="3">
        <f>IF('Heure par heure'!K34="","",'Heure par heure'!K34-N('Heure par heure'!K33))</f>
        <v/>
      </c>
      <c r="K34" s="3">
        <f>IF('Heure par heure'!L34="","",'Heure par heure'!L34-N('Heure par heure'!L33))</f>
        <v/>
      </c>
      <c r="L34" s="3">
        <f>SUM(B34:K34)</f>
        <v/>
      </c>
    </row>
    <row r="35">
      <c r="A35" s="2">
        <f>'Heure par heure'!A35</f>
        <v/>
      </c>
      <c r="B35" s="3">
        <f>IF('Heure par heure'!C35="","",'Heure par heure'!C35-N('Heure par heure'!C34))</f>
        <v/>
      </c>
      <c r="C35" s="3">
        <f>IF('Heure par heure'!D35="","",'Heure par heure'!D35-N('Heure par heure'!D34))</f>
        <v/>
      </c>
      <c r="D35" s="3">
        <f>IF('Heure par heure'!E35="","",'Heure par heure'!E35-N('Heure par heure'!E34))</f>
        <v/>
      </c>
      <c r="E35" s="3">
        <f>IF('Heure par heure'!F35="","",'Heure par heure'!F35-N('Heure par heure'!F34))</f>
        <v/>
      </c>
      <c r="F35" s="3">
        <f>IF('Heure par heure'!G35="","",'Heure par heure'!G35-N('Heure par heure'!G34))</f>
        <v/>
      </c>
      <c r="G35" s="3">
        <f>IF('Heure par heure'!H35="","",'Heure par heure'!H35-N('Heure par heure'!H34))</f>
        <v/>
      </c>
      <c r="H35" s="3">
        <f>IF('Heure par heure'!I35="","",'Heure par heure'!I35-N('Heure par heure'!I34))</f>
        <v/>
      </c>
      <c r="I35" s="3">
        <f>IF('Heure par heure'!J35="","",'Heure par heure'!J35-N('Heure par heure'!J34))</f>
        <v/>
      </c>
      <c r="J35" s="3">
        <f>IF('Heure par heure'!K35="","",'Heure par heure'!K35-N('Heure par heure'!K34))</f>
        <v/>
      </c>
      <c r="K35" s="3">
        <f>IF('Heure par heure'!L35="","",'Heure par heure'!L35-N('Heure par heure'!L34))</f>
        <v/>
      </c>
      <c r="L35" s="3">
        <f>SUM(B35:K35)</f>
        <v/>
      </c>
    </row>
    <row r="36">
      <c r="A36" s="2">
        <f>'Heure par heure'!A36</f>
        <v/>
      </c>
      <c r="B36" s="3">
        <f>IF('Heure par heure'!C36="","",'Heure par heure'!C36-N('Heure par heure'!C35))</f>
        <v/>
      </c>
      <c r="C36" s="3">
        <f>IF('Heure par heure'!D36="","",'Heure par heure'!D36-N('Heure par heure'!D35))</f>
        <v/>
      </c>
      <c r="D36" s="3">
        <f>IF('Heure par heure'!E36="","",'Heure par heure'!E36-N('Heure par heure'!E35))</f>
        <v/>
      </c>
      <c r="E36" s="3">
        <f>IF('Heure par heure'!F36="","",'Heure par heure'!F36-N('Heure par heure'!F35))</f>
        <v/>
      </c>
      <c r="F36" s="3">
        <f>IF('Heure par heure'!G36="","",'Heure par heure'!G36-N('Heure par heure'!G35))</f>
        <v/>
      </c>
      <c r="G36" s="3">
        <f>IF('Heure par heure'!H36="","",'Heure par heure'!H36-N('Heure par heure'!H35))</f>
        <v/>
      </c>
      <c r="H36" s="3">
        <f>IF('Heure par heure'!I36="","",'Heure par heure'!I36-N('Heure par heure'!I35))</f>
        <v/>
      </c>
      <c r="I36" s="3">
        <f>IF('Heure par heure'!J36="","",'Heure par heure'!J36-N('Heure par heure'!J35))</f>
        <v/>
      </c>
      <c r="J36" s="3">
        <f>IF('Heure par heure'!K36="","",'Heure par heure'!K36-N('Heure par heure'!K35))</f>
        <v/>
      </c>
      <c r="K36" s="3">
        <f>IF('Heure par heure'!L36="","",'Heure par heure'!L36-N('Heure par heure'!L35))</f>
        <v/>
      </c>
      <c r="L36" s="3">
        <f>SUM(B36:K36)</f>
        <v/>
      </c>
    </row>
    <row r="37">
      <c r="A37" s="2">
        <f>'Heure par heure'!A37</f>
        <v/>
      </c>
      <c r="B37" s="3">
        <f>IF('Heure par heure'!C37="","",'Heure par heure'!C37-N('Heure par heure'!C36))</f>
        <v/>
      </c>
      <c r="C37" s="3">
        <f>IF('Heure par heure'!D37="","",'Heure par heure'!D37-N('Heure par heure'!D36))</f>
        <v/>
      </c>
      <c r="D37" s="3">
        <f>IF('Heure par heure'!E37="","",'Heure par heure'!E37-N('Heure par heure'!E36))</f>
        <v/>
      </c>
      <c r="E37" s="3">
        <f>IF('Heure par heure'!F37="","",'Heure par heure'!F37-N('Heure par heure'!F36))</f>
        <v/>
      </c>
      <c r="F37" s="3">
        <f>IF('Heure par heure'!G37="","",'Heure par heure'!G37-N('Heure par heure'!G36))</f>
        <v/>
      </c>
      <c r="G37" s="3">
        <f>IF('Heure par heure'!H37="","",'Heure par heure'!H37-N('Heure par heure'!H36))</f>
        <v/>
      </c>
      <c r="H37" s="3">
        <f>IF('Heure par heure'!I37="","",'Heure par heure'!I37-N('Heure par heure'!I36))</f>
        <v/>
      </c>
      <c r="I37" s="3">
        <f>IF('Heure par heure'!J37="","",'Heure par heure'!J37-N('Heure par heure'!J36))</f>
        <v/>
      </c>
      <c r="J37" s="3">
        <f>IF('Heure par heure'!K37="","",'Heure par heure'!K37-N('Heure par heure'!K36))</f>
        <v/>
      </c>
      <c r="K37" s="3">
        <f>IF('Heure par heure'!L37="","",'Heure par heure'!L37-N('Heure par heure'!L36))</f>
        <v/>
      </c>
      <c r="L37" s="3">
        <f>SUM(B37:K37)</f>
        <v/>
      </c>
    </row>
    <row r="38">
      <c r="A38" s="2">
        <f>'Heure par heure'!A38</f>
        <v/>
      </c>
      <c r="B38" s="3">
        <f>IF('Heure par heure'!C38="","",'Heure par heure'!C38-N('Heure par heure'!C37))</f>
        <v/>
      </c>
      <c r="C38" s="3">
        <f>IF('Heure par heure'!D38="","",'Heure par heure'!D38-N('Heure par heure'!D37))</f>
        <v/>
      </c>
      <c r="D38" s="3">
        <f>IF('Heure par heure'!E38="","",'Heure par heure'!E38-N('Heure par heure'!E37))</f>
        <v/>
      </c>
      <c r="E38" s="3">
        <f>IF('Heure par heure'!F38="","",'Heure par heure'!F38-N('Heure par heure'!F37))</f>
        <v/>
      </c>
      <c r="F38" s="3">
        <f>IF('Heure par heure'!G38="","",'Heure par heure'!G38-N('Heure par heure'!G37))</f>
        <v/>
      </c>
      <c r="G38" s="3">
        <f>IF('Heure par heure'!H38="","",'Heure par heure'!H38-N('Heure par heure'!H37))</f>
        <v/>
      </c>
      <c r="H38" s="3">
        <f>IF('Heure par heure'!I38="","",'Heure par heure'!I38-N('Heure par heure'!I37))</f>
        <v/>
      </c>
      <c r="I38" s="3">
        <f>IF('Heure par heure'!J38="","",'Heure par heure'!J38-N('Heure par heure'!J37))</f>
        <v/>
      </c>
      <c r="J38" s="3">
        <f>IF('Heure par heure'!K38="","",'Heure par heure'!K38-N('Heure par heure'!K37))</f>
        <v/>
      </c>
      <c r="K38" s="3">
        <f>IF('Heure par heure'!L38="","",'Heure par heure'!L38-N('Heure par heure'!L37))</f>
        <v/>
      </c>
      <c r="L38" s="3">
        <f>SUM(B38:K38)</f>
        <v/>
      </c>
    </row>
    <row r="39">
      <c r="A39" s="2">
        <f>'Heure par heure'!A39</f>
        <v/>
      </c>
      <c r="B39" s="3">
        <f>IF('Heure par heure'!C39="","",'Heure par heure'!C39-N('Heure par heure'!C38))</f>
        <v/>
      </c>
      <c r="C39" s="3">
        <f>IF('Heure par heure'!D39="","",'Heure par heure'!D39-N('Heure par heure'!D38))</f>
        <v/>
      </c>
      <c r="D39" s="3">
        <f>IF('Heure par heure'!E39="","",'Heure par heure'!E39-N('Heure par heure'!E38))</f>
        <v/>
      </c>
      <c r="E39" s="3">
        <f>IF('Heure par heure'!F39="","",'Heure par heure'!F39-N('Heure par heure'!F38))</f>
        <v/>
      </c>
      <c r="F39" s="3">
        <f>IF('Heure par heure'!G39="","",'Heure par heure'!G39-N('Heure par heure'!G38))</f>
        <v/>
      </c>
      <c r="G39" s="3">
        <f>IF('Heure par heure'!H39="","",'Heure par heure'!H39-N('Heure par heure'!H38))</f>
        <v/>
      </c>
      <c r="H39" s="3">
        <f>IF('Heure par heure'!I39="","",'Heure par heure'!I39-N('Heure par heure'!I38))</f>
        <v/>
      </c>
      <c r="I39" s="3">
        <f>IF('Heure par heure'!J39="","",'Heure par heure'!J39-N('Heure par heure'!J38))</f>
        <v/>
      </c>
      <c r="J39" s="3">
        <f>IF('Heure par heure'!K39="","",'Heure par heure'!K39-N('Heure par heure'!K38))</f>
        <v/>
      </c>
      <c r="K39" s="3">
        <f>IF('Heure par heure'!L39="","",'Heure par heure'!L39-N('Heure par heure'!L38))</f>
        <v/>
      </c>
      <c r="L39" s="3">
        <f>SUM(B39:K39)</f>
        <v/>
      </c>
    </row>
    <row r="40">
      <c r="A40" s="2">
        <f>'Heure par heure'!A40</f>
        <v/>
      </c>
      <c r="B40" s="3">
        <f>IF('Heure par heure'!C40="","",'Heure par heure'!C40-N('Heure par heure'!C39))</f>
        <v/>
      </c>
      <c r="C40" s="3">
        <f>IF('Heure par heure'!D40="","",'Heure par heure'!D40-N('Heure par heure'!D39))</f>
        <v/>
      </c>
      <c r="D40" s="3">
        <f>IF('Heure par heure'!E40="","",'Heure par heure'!E40-N('Heure par heure'!E39))</f>
        <v/>
      </c>
      <c r="E40" s="3">
        <f>IF('Heure par heure'!F40="","",'Heure par heure'!F40-N('Heure par heure'!F39))</f>
        <v/>
      </c>
      <c r="F40" s="3">
        <f>IF('Heure par heure'!G40="","",'Heure par heure'!G40-N('Heure par heure'!G39))</f>
        <v/>
      </c>
      <c r="G40" s="3">
        <f>IF('Heure par heure'!H40="","",'Heure par heure'!H40-N('Heure par heure'!H39))</f>
        <v/>
      </c>
      <c r="H40" s="3">
        <f>IF('Heure par heure'!I40="","",'Heure par heure'!I40-N('Heure par heure'!I39))</f>
        <v/>
      </c>
      <c r="I40" s="3">
        <f>IF('Heure par heure'!J40="","",'Heure par heure'!J40-N('Heure par heure'!J39))</f>
        <v/>
      </c>
      <c r="J40" s="3">
        <f>IF('Heure par heure'!K40="","",'Heure par heure'!K40-N('Heure par heure'!K39))</f>
        <v/>
      </c>
      <c r="K40" s="3">
        <f>IF('Heure par heure'!L40="","",'Heure par heure'!L40-N('Heure par heure'!L39))</f>
        <v/>
      </c>
      <c r="L40" s="3">
        <f>SUM(B40:K40)</f>
        <v/>
      </c>
    </row>
    <row r="41">
      <c r="A41" s="2">
        <f>'Heure par heure'!A41</f>
        <v/>
      </c>
      <c r="B41" s="3">
        <f>IF('Heure par heure'!C41="","",'Heure par heure'!C41-N('Heure par heure'!C40))</f>
        <v/>
      </c>
      <c r="C41" s="3">
        <f>IF('Heure par heure'!D41="","",'Heure par heure'!D41-N('Heure par heure'!D40))</f>
        <v/>
      </c>
      <c r="D41" s="3">
        <f>IF('Heure par heure'!E41="","",'Heure par heure'!E41-N('Heure par heure'!E40))</f>
        <v/>
      </c>
      <c r="E41" s="3">
        <f>IF('Heure par heure'!F41="","",'Heure par heure'!F41-N('Heure par heure'!F40))</f>
        <v/>
      </c>
      <c r="F41" s="3">
        <f>IF('Heure par heure'!G41="","",'Heure par heure'!G41-N('Heure par heure'!G40))</f>
        <v/>
      </c>
      <c r="G41" s="3">
        <f>IF('Heure par heure'!H41="","",'Heure par heure'!H41-N('Heure par heure'!H40))</f>
        <v/>
      </c>
      <c r="H41" s="3">
        <f>IF('Heure par heure'!I41="","",'Heure par heure'!I41-N('Heure par heure'!I40))</f>
        <v/>
      </c>
      <c r="I41" s="3">
        <f>IF('Heure par heure'!J41="","",'Heure par heure'!J41-N('Heure par heure'!J40))</f>
        <v/>
      </c>
      <c r="J41" s="3">
        <f>IF('Heure par heure'!K41="","",'Heure par heure'!K41-N('Heure par heure'!K40))</f>
        <v/>
      </c>
      <c r="K41" s="3">
        <f>IF('Heure par heure'!L41="","",'Heure par heure'!L41-N('Heure par heure'!L40))</f>
        <v/>
      </c>
      <c r="L41" s="3">
        <f>SUM(B41:K41)</f>
        <v/>
      </c>
    </row>
    <row r="42">
      <c r="A42" s="2">
        <f>'Heure par heure'!A42</f>
        <v/>
      </c>
      <c r="B42" s="3">
        <f>IF('Heure par heure'!C42="","",'Heure par heure'!C42-N('Heure par heure'!C41))</f>
        <v/>
      </c>
      <c r="C42" s="3">
        <f>IF('Heure par heure'!D42="","",'Heure par heure'!D42-N('Heure par heure'!D41))</f>
        <v/>
      </c>
      <c r="D42" s="3">
        <f>IF('Heure par heure'!E42="","",'Heure par heure'!E42-N('Heure par heure'!E41))</f>
        <v/>
      </c>
      <c r="E42" s="3">
        <f>IF('Heure par heure'!F42="","",'Heure par heure'!F42-N('Heure par heure'!F41))</f>
        <v/>
      </c>
      <c r="F42" s="3">
        <f>IF('Heure par heure'!G42="","",'Heure par heure'!G42-N('Heure par heure'!G41))</f>
        <v/>
      </c>
      <c r="G42" s="3">
        <f>IF('Heure par heure'!H42="","",'Heure par heure'!H42-N('Heure par heure'!H41))</f>
        <v/>
      </c>
      <c r="H42" s="3">
        <f>IF('Heure par heure'!I42="","",'Heure par heure'!I42-N('Heure par heure'!I41))</f>
        <v/>
      </c>
      <c r="I42" s="3">
        <f>IF('Heure par heure'!J42="","",'Heure par heure'!J42-N('Heure par heure'!J41))</f>
        <v/>
      </c>
      <c r="J42" s="3">
        <f>IF('Heure par heure'!K42="","",'Heure par heure'!K42-N('Heure par heure'!K41))</f>
        <v/>
      </c>
      <c r="K42" s="3">
        <f>IF('Heure par heure'!L42="","",'Heure par heure'!L42-N('Heure par heure'!L41))</f>
        <v/>
      </c>
      <c r="L42" s="3">
        <f>SUM(B42:K42)</f>
        <v/>
      </c>
    </row>
    <row r="43">
      <c r="A43" s="2">
        <f>'Heure par heure'!A43</f>
        <v/>
      </c>
      <c r="B43" s="3">
        <f>IF('Heure par heure'!C43="","",'Heure par heure'!C43-N('Heure par heure'!C42))</f>
        <v/>
      </c>
      <c r="C43" s="3">
        <f>IF('Heure par heure'!D43="","",'Heure par heure'!D43-N('Heure par heure'!D42))</f>
        <v/>
      </c>
      <c r="D43" s="3">
        <f>IF('Heure par heure'!E43="","",'Heure par heure'!E43-N('Heure par heure'!E42))</f>
        <v/>
      </c>
      <c r="E43" s="3">
        <f>IF('Heure par heure'!F43="","",'Heure par heure'!F43-N('Heure par heure'!F42))</f>
        <v/>
      </c>
      <c r="F43" s="3">
        <f>IF('Heure par heure'!G43="","",'Heure par heure'!G43-N('Heure par heure'!G42))</f>
        <v/>
      </c>
      <c r="G43" s="3">
        <f>IF('Heure par heure'!H43="","",'Heure par heure'!H43-N('Heure par heure'!H42))</f>
        <v/>
      </c>
      <c r="H43" s="3">
        <f>IF('Heure par heure'!I43="","",'Heure par heure'!I43-N('Heure par heure'!I42))</f>
        <v/>
      </c>
      <c r="I43" s="3">
        <f>IF('Heure par heure'!J43="","",'Heure par heure'!J43-N('Heure par heure'!J42))</f>
        <v/>
      </c>
      <c r="J43" s="3">
        <f>IF('Heure par heure'!K43="","",'Heure par heure'!K43-N('Heure par heure'!K42))</f>
        <v/>
      </c>
      <c r="K43" s="3">
        <f>IF('Heure par heure'!L43="","",'Heure par heure'!L43-N('Heure par heure'!L42))</f>
        <v/>
      </c>
      <c r="L43" s="3">
        <f>SUM(B43:K43)</f>
        <v/>
      </c>
    </row>
    <row r="44">
      <c r="A44" s="2">
        <f>'Heure par heure'!A44</f>
        <v/>
      </c>
      <c r="B44" s="3">
        <f>IF('Heure par heure'!C44="","",'Heure par heure'!C44-N('Heure par heure'!C43))</f>
        <v/>
      </c>
      <c r="C44" s="3">
        <f>IF('Heure par heure'!D44="","",'Heure par heure'!D44-N('Heure par heure'!D43))</f>
        <v/>
      </c>
      <c r="D44" s="3">
        <f>IF('Heure par heure'!E44="","",'Heure par heure'!E44-N('Heure par heure'!E43))</f>
        <v/>
      </c>
      <c r="E44" s="3">
        <f>IF('Heure par heure'!F44="","",'Heure par heure'!F44-N('Heure par heure'!F43))</f>
        <v/>
      </c>
      <c r="F44" s="3">
        <f>IF('Heure par heure'!G44="","",'Heure par heure'!G44-N('Heure par heure'!G43))</f>
        <v/>
      </c>
      <c r="G44" s="3">
        <f>IF('Heure par heure'!H44="","",'Heure par heure'!H44-N('Heure par heure'!H43))</f>
        <v/>
      </c>
      <c r="H44" s="3">
        <f>IF('Heure par heure'!I44="","",'Heure par heure'!I44-N('Heure par heure'!I43))</f>
        <v/>
      </c>
      <c r="I44" s="3">
        <f>IF('Heure par heure'!J44="","",'Heure par heure'!J44-N('Heure par heure'!J43))</f>
        <v/>
      </c>
      <c r="J44" s="3">
        <f>IF('Heure par heure'!K44="","",'Heure par heure'!K44-N('Heure par heure'!K43))</f>
        <v/>
      </c>
      <c r="K44" s="3">
        <f>IF('Heure par heure'!L44="","",'Heure par heure'!L44-N('Heure par heure'!L43))</f>
        <v/>
      </c>
      <c r="L44" s="3">
        <f>SUM(B44:K44)</f>
        <v/>
      </c>
    </row>
    <row r="45">
      <c r="A45" s="2">
        <f>'Heure par heure'!A45</f>
        <v/>
      </c>
      <c r="B45" s="3">
        <f>IF('Heure par heure'!C45="","",'Heure par heure'!C45-N('Heure par heure'!C44))</f>
        <v/>
      </c>
      <c r="C45" s="3">
        <f>IF('Heure par heure'!D45="","",'Heure par heure'!D45-N('Heure par heure'!D44))</f>
        <v/>
      </c>
      <c r="D45" s="3">
        <f>IF('Heure par heure'!E45="","",'Heure par heure'!E45-N('Heure par heure'!E44))</f>
        <v/>
      </c>
      <c r="E45" s="3">
        <f>IF('Heure par heure'!F45="","",'Heure par heure'!F45-N('Heure par heure'!F44))</f>
        <v/>
      </c>
      <c r="F45" s="3">
        <f>IF('Heure par heure'!G45="","",'Heure par heure'!G45-N('Heure par heure'!G44))</f>
        <v/>
      </c>
      <c r="G45" s="3">
        <f>IF('Heure par heure'!H45="","",'Heure par heure'!H45-N('Heure par heure'!H44))</f>
        <v/>
      </c>
      <c r="H45" s="3">
        <f>IF('Heure par heure'!I45="","",'Heure par heure'!I45-N('Heure par heure'!I44))</f>
        <v/>
      </c>
      <c r="I45" s="3">
        <f>IF('Heure par heure'!J45="","",'Heure par heure'!J45-N('Heure par heure'!J44))</f>
        <v/>
      </c>
      <c r="J45" s="3">
        <f>IF('Heure par heure'!K45="","",'Heure par heure'!K45-N('Heure par heure'!K44))</f>
        <v/>
      </c>
      <c r="K45" s="3">
        <f>IF('Heure par heure'!L45="","",'Heure par heure'!L45-N('Heure par heure'!L44))</f>
        <v/>
      </c>
      <c r="L45" s="3">
        <f>SUM(B45:K45)</f>
        <v/>
      </c>
    </row>
    <row r="46">
      <c r="A46" s="2">
        <f>'Heure par heure'!A46</f>
        <v/>
      </c>
      <c r="B46" s="3">
        <f>IF('Heure par heure'!C46="","",'Heure par heure'!C46-N('Heure par heure'!C45))</f>
        <v/>
      </c>
      <c r="C46" s="3">
        <f>IF('Heure par heure'!D46="","",'Heure par heure'!D46-N('Heure par heure'!D45))</f>
        <v/>
      </c>
      <c r="D46" s="3">
        <f>IF('Heure par heure'!E46="","",'Heure par heure'!E46-N('Heure par heure'!E45))</f>
        <v/>
      </c>
      <c r="E46" s="3">
        <f>IF('Heure par heure'!F46="","",'Heure par heure'!F46-N('Heure par heure'!F45))</f>
        <v/>
      </c>
      <c r="F46" s="3">
        <f>IF('Heure par heure'!G46="","",'Heure par heure'!G46-N('Heure par heure'!G45))</f>
        <v/>
      </c>
      <c r="G46" s="3">
        <f>IF('Heure par heure'!H46="","",'Heure par heure'!H46-N('Heure par heure'!H45))</f>
        <v/>
      </c>
      <c r="H46" s="3">
        <f>IF('Heure par heure'!I46="","",'Heure par heure'!I46-N('Heure par heure'!I45))</f>
        <v/>
      </c>
      <c r="I46" s="3">
        <f>IF('Heure par heure'!J46="","",'Heure par heure'!J46-N('Heure par heure'!J45))</f>
        <v/>
      </c>
      <c r="J46" s="3">
        <f>IF('Heure par heure'!K46="","",'Heure par heure'!K46-N('Heure par heure'!K45))</f>
        <v/>
      </c>
      <c r="K46" s="3">
        <f>IF('Heure par heure'!L46="","",'Heure par heure'!L46-N('Heure par heure'!L45))</f>
        <v/>
      </c>
      <c r="L46" s="3">
        <f>SUM(B46:K46)</f>
        <v/>
      </c>
    </row>
    <row r="47">
      <c r="A47" s="2">
        <f>'Heure par heure'!A47</f>
        <v/>
      </c>
      <c r="B47" s="3">
        <f>IF('Heure par heure'!C47="","",'Heure par heure'!C47-N('Heure par heure'!C46))</f>
        <v/>
      </c>
      <c r="C47" s="3">
        <f>IF('Heure par heure'!D47="","",'Heure par heure'!D47-N('Heure par heure'!D46))</f>
        <v/>
      </c>
      <c r="D47" s="3">
        <f>IF('Heure par heure'!E47="","",'Heure par heure'!E47-N('Heure par heure'!E46))</f>
        <v/>
      </c>
      <c r="E47" s="3">
        <f>IF('Heure par heure'!F47="","",'Heure par heure'!F47-N('Heure par heure'!F46))</f>
        <v/>
      </c>
      <c r="F47" s="3">
        <f>IF('Heure par heure'!G47="","",'Heure par heure'!G47-N('Heure par heure'!G46))</f>
        <v/>
      </c>
      <c r="G47" s="3">
        <f>IF('Heure par heure'!H47="","",'Heure par heure'!H47-N('Heure par heure'!H46))</f>
        <v/>
      </c>
      <c r="H47" s="3">
        <f>IF('Heure par heure'!I47="","",'Heure par heure'!I47-N('Heure par heure'!I46))</f>
        <v/>
      </c>
      <c r="I47" s="3">
        <f>IF('Heure par heure'!J47="","",'Heure par heure'!J47-N('Heure par heure'!J46))</f>
        <v/>
      </c>
      <c r="J47" s="3">
        <f>IF('Heure par heure'!K47="","",'Heure par heure'!K47-N('Heure par heure'!K46))</f>
        <v/>
      </c>
      <c r="K47" s="3">
        <f>IF('Heure par heure'!L47="","",'Heure par heure'!L47-N('Heure par heure'!L46))</f>
        <v/>
      </c>
      <c r="L47" s="3">
        <f>SUM(B47:K47)</f>
        <v/>
      </c>
    </row>
    <row r="48">
      <c r="A48" s="2">
        <f>'Heure par heure'!A48</f>
        <v/>
      </c>
      <c r="B48" s="3">
        <f>IF('Heure par heure'!C48="","",'Heure par heure'!C48-N('Heure par heure'!C47))</f>
        <v/>
      </c>
      <c r="C48" s="3">
        <f>IF('Heure par heure'!D48="","",'Heure par heure'!D48-N('Heure par heure'!D47))</f>
        <v/>
      </c>
      <c r="D48" s="3">
        <f>IF('Heure par heure'!E48="","",'Heure par heure'!E48-N('Heure par heure'!E47))</f>
        <v/>
      </c>
      <c r="E48" s="3">
        <f>IF('Heure par heure'!F48="","",'Heure par heure'!F48-N('Heure par heure'!F47))</f>
        <v/>
      </c>
      <c r="F48" s="3">
        <f>IF('Heure par heure'!G48="","",'Heure par heure'!G48-N('Heure par heure'!G47))</f>
        <v/>
      </c>
      <c r="G48" s="3">
        <f>IF('Heure par heure'!H48="","",'Heure par heure'!H48-N('Heure par heure'!H47))</f>
        <v/>
      </c>
      <c r="H48" s="3">
        <f>IF('Heure par heure'!I48="","",'Heure par heure'!I48-N('Heure par heure'!I47))</f>
        <v/>
      </c>
      <c r="I48" s="3">
        <f>IF('Heure par heure'!J48="","",'Heure par heure'!J48-N('Heure par heure'!J47))</f>
        <v/>
      </c>
      <c r="J48" s="3">
        <f>IF('Heure par heure'!K48="","",'Heure par heure'!K48-N('Heure par heure'!K47))</f>
        <v/>
      </c>
      <c r="K48" s="3">
        <f>IF('Heure par heure'!L48="","",'Heure par heure'!L48-N('Heure par heure'!L47))</f>
        <v/>
      </c>
      <c r="L48" s="3">
        <f>SUM(B48:K48)</f>
        <v/>
      </c>
    </row>
    <row r="49">
      <c r="A49" s="2">
        <f>'Heure par heure'!A49</f>
        <v/>
      </c>
      <c r="B49" s="3">
        <f>IF('Heure par heure'!C49="","",'Heure par heure'!C49-N('Heure par heure'!C48))</f>
        <v/>
      </c>
      <c r="C49" s="3">
        <f>IF('Heure par heure'!D49="","",'Heure par heure'!D49-N('Heure par heure'!D48))</f>
        <v/>
      </c>
      <c r="D49" s="3">
        <f>IF('Heure par heure'!E49="","",'Heure par heure'!E49-N('Heure par heure'!E48))</f>
        <v/>
      </c>
      <c r="E49" s="3">
        <f>IF('Heure par heure'!F49="","",'Heure par heure'!F49-N('Heure par heure'!F48))</f>
        <v/>
      </c>
      <c r="F49" s="3">
        <f>IF('Heure par heure'!G49="","",'Heure par heure'!G49-N('Heure par heure'!G48))</f>
        <v/>
      </c>
      <c r="G49" s="3">
        <f>IF('Heure par heure'!H49="","",'Heure par heure'!H49-N('Heure par heure'!H48))</f>
        <v/>
      </c>
      <c r="H49" s="3">
        <f>IF('Heure par heure'!I49="","",'Heure par heure'!I49-N('Heure par heure'!I48))</f>
        <v/>
      </c>
      <c r="I49" s="3">
        <f>IF('Heure par heure'!J49="","",'Heure par heure'!J49-N('Heure par heure'!J48))</f>
        <v/>
      </c>
      <c r="J49" s="3">
        <f>IF('Heure par heure'!K49="","",'Heure par heure'!K49-N('Heure par heure'!K48))</f>
        <v/>
      </c>
      <c r="K49" s="3">
        <f>IF('Heure par heure'!L49="","",'Heure par heure'!L49-N('Heure par heure'!L48))</f>
        <v/>
      </c>
      <c r="L49" s="3">
        <f>SUM(B49:K49)</f>
        <v/>
      </c>
    </row>
    <row r="50">
      <c r="A50" s="2">
        <f>'Heure par heure'!A50</f>
        <v/>
      </c>
      <c r="B50" s="3">
        <f>IF('Heure par heure'!C50="","",'Heure par heure'!C50-N('Heure par heure'!C49))</f>
        <v/>
      </c>
      <c r="C50" s="3">
        <f>IF('Heure par heure'!D50="","",'Heure par heure'!D50-N('Heure par heure'!D49))</f>
        <v/>
      </c>
      <c r="D50" s="3">
        <f>IF('Heure par heure'!E50="","",'Heure par heure'!E50-N('Heure par heure'!E49))</f>
        <v/>
      </c>
      <c r="E50" s="3">
        <f>IF('Heure par heure'!F50="","",'Heure par heure'!F50-N('Heure par heure'!F49))</f>
        <v/>
      </c>
      <c r="F50" s="3">
        <f>IF('Heure par heure'!G50="","",'Heure par heure'!G50-N('Heure par heure'!G49))</f>
        <v/>
      </c>
      <c r="G50" s="3">
        <f>IF('Heure par heure'!H50="","",'Heure par heure'!H50-N('Heure par heure'!H49))</f>
        <v/>
      </c>
      <c r="H50" s="3">
        <f>IF('Heure par heure'!I50="","",'Heure par heure'!I50-N('Heure par heure'!I49))</f>
        <v/>
      </c>
      <c r="I50" s="3">
        <f>IF('Heure par heure'!J50="","",'Heure par heure'!J50-N('Heure par heure'!J49))</f>
        <v/>
      </c>
      <c r="J50" s="3">
        <f>IF('Heure par heure'!K50="","",'Heure par heure'!K50-N('Heure par heure'!K49))</f>
        <v/>
      </c>
      <c r="K50" s="3">
        <f>IF('Heure par heure'!L50="","",'Heure par heure'!L50-N('Heure par heure'!L49))</f>
        <v/>
      </c>
      <c r="L50" s="3">
        <f>SUM(B50:K50)</f>
        <v/>
      </c>
    </row>
    <row r="51">
      <c r="A51" s="2">
        <f>'Heure par heure'!A51</f>
        <v/>
      </c>
      <c r="B51" s="3">
        <f>IF('Heure par heure'!C51="","",'Heure par heure'!C51-N('Heure par heure'!C50))</f>
        <v/>
      </c>
      <c r="C51" s="3">
        <f>IF('Heure par heure'!D51="","",'Heure par heure'!D51-N('Heure par heure'!D50))</f>
        <v/>
      </c>
      <c r="D51" s="3">
        <f>IF('Heure par heure'!E51="","",'Heure par heure'!E51-N('Heure par heure'!E50))</f>
        <v/>
      </c>
      <c r="E51" s="3">
        <f>IF('Heure par heure'!F51="","",'Heure par heure'!F51-N('Heure par heure'!F50))</f>
        <v/>
      </c>
      <c r="F51" s="3">
        <f>IF('Heure par heure'!G51="","",'Heure par heure'!G51-N('Heure par heure'!G50))</f>
        <v/>
      </c>
      <c r="G51" s="3">
        <f>IF('Heure par heure'!H51="","",'Heure par heure'!H51-N('Heure par heure'!H50))</f>
        <v/>
      </c>
      <c r="H51" s="3">
        <f>IF('Heure par heure'!I51="","",'Heure par heure'!I51-N('Heure par heure'!I50))</f>
        <v/>
      </c>
      <c r="I51" s="3">
        <f>IF('Heure par heure'!J51="","",'Heure par heure'!J51-N('Heure par heure'!J50))</f>
        <v/>
      </c>
      <c r="J51" s="3">
        <f>IF('Heure par heure'!K51="","",'Heure par heure'!K51-N('Heure par heure'!K50))</f>
        <v/>
      </c>
      <c r="K51" s="3">
        <f>IF('Heure par heure'!L51="","",'Heure par heure'!L51-N('Heure par heure'!L50))</f>
        <v/>
      </c>
      <c r="L51" s="3">
        <f>SUM(B51:K51)</f>
        <v/>
      </c>
    </row>
    <row r="52">
      <c r="A52" s="2">
        <f>'Heure par heure'!A52</f>
        <v/>
      </c>
      <c r="B52" s="3">
        <f>IF('Heure par heure'!C52="","",'Heure par heure'!C52-N('Heure par heure'!C51))</f>
        <v/>
      </c>
      <c r="C52" s="3">
        <f>IF('Heure par heure'!D52="","",'Heure par heure'!D52-N('Heure par heure'!D51))</f>
        <v/>
      </c>
      <c r="D52" s="3">
        <f>IF('Heure par heure'!E52="","",'Heure par heure'!E52-N('Heure par heure'!E51))</f>
        <v/>
      </c>
      <c r="E52" s="3">
        <f>IF('Heure par heure'!F52="","",'Heure par heure'!F52-N('Heure par heure'!F51))</f>
        <v/>
      </c>
      <c r="F52" s="3">
        <f>IF('Heure par heure'!G52="","",'Heure par heure'!G52-N('Heure par heure'!G51))</f>
        <v/>
      </c>
      <c r="G52" s="3">
        <f>IF('Heure par heure'!H52="","",'Heure par heure'!H52-N('Heure par heure'!H51))</f>
        <v/>
      </c>
      <c r="H52" s="3">
        <f>IF('Heure par heure'!I52="","",'Heure par heure'!I52-N('Heure par heure'!I51))</f>
        <v/>
      </c>
      <c r="I52" s="3">
        <f>IF('Heure par heure'!J52="","",'Heure par heure'!J52-N('Heure par heure'!J51))</f>
        <v/>
      </c>
      <c r="J52" s="3">
        <f>IF('Heure par heure'!K52="","",'Heure par heure'!K52-N('Heure par heure'!K51))</f>
        <v/>
      </c>
      <c r="K52" s="3">
        <f>IF('Heure par heure'!L52="","",'Heure par heure'!L52-N('Heure par heure'!L51))</f>
        <v/>
      </c>
      <c r="L52" s="3">
        <f>SUM(B52:K52)</f>
        <v/>
      </c>
    </row>
    <row r="53">
      <c r="A53" s="2">
        <f>'Heure par heure'!A53</f>
        <v/>
      </c>
      <c r="B53" s="3">
        <f>IF('Heure par heure'!C53="","",'Heure par heure'!C53-N('Heure par heure'!C52))</f>
        <v/>
      </c>
      <c r="C53" s="3">
        <f>IF('Heure par heure'!D53="","",'Heure par heure'!D53-N('Heure par heure'!D52))</f>
        <v/>
      </c>
      <c r="D53" s="3">
        <f>IF('Heure par heure'!E53="","",'Heure par heure'!E53-N('Heure par heure'!E52))</f>
        <v/>
      </c>
      <c r="E53" s="3">
        <f>IF('Heure par heure'!F53="","",'Heure par heure'!F53-N('Heure par heure'!F52))</f>
        <v/>
      </c>
      <c r="F53" s="3">
        <f>IF('Heure par heure'!G53="","",'Heure par heure'!G53-N('Heure par heure'!G52))</f>
        <v/>
      </c>
      <c r="G53" s="3">
        <f>IF('Heure par heure'!H53="","",'Heure par heure'!H53-N('Heure par heure'!H52))</f>
        <v/>
      </c>
      <c r="H53" s="3">
        <f>IF('Heure par heure'!I53="","",'Heure par heure'!I53-N('Heure par heure'!I52))</f>
        <v/>
      </c>
      <c r="I53" s="3">
        <f>IF('Heure par heure'!J53="","",'Heure par heure'!J53-N('Heure par heure'!J52))</f>
        <v/>
      </c>
      <c r="J53" s="3">
        <f>IF('Heure par heure'!K53="","",'Heure par heure'!K53-N('Heure par heure'!K52))</f>
        <v/>
      </c>
      <c r="K53" s="3">
        <f>IF('Heure par heure'!L53="","",'Heure par heure'!L53-N('Heure par heure'!L52))</f>
        <v/>
      </c>
      <c r="L53" s="3">
        <f>SUM(B53:K53)</f>
        <v/>
      </c>
    </row>
    <row r="54">
      <c r="A54" s="2">
        <f>'Heure par heure'!A54</f>
        <v/>
      </c>
      <c r="B54" s="3">
        <f>IF('Heure par heure'!C54="","",'Heure par heure'!C54-N('Heure par heure'!C53))</f>
        <v/>
      </c>
      <c r="C54" s="3">
        <f>IF('Heure par heure'!D54="","",'Heure par heure'!D54-N('Heure par heure'!D53))</f>
        <v/>
      </c>
      <c r="D54" s="3">
        <f>IF('Heure par heure'!E54="","",'Heure par heure'!E54-N('Heure par heure'!E53))</f>
        <v/>
      </c>
      <c r="E54" s="3">
        <f>IF('Heure par heure'!F54="","",'Heure par heure'!F54-N('Heure par heure'!F53))</f>
        <v/>
      </c>
      <c r="F54" s="3">
        <f>IF('Heure par heure'!G54="","",'Heure par heure'!G54-N('Heure par heure'!G53))</f>
        <v/>
      </c>
      <c r="G54" s="3">
        <f>IF('Heure par heure'!H54="","",'Heure par heure'!H54-N('Heure par heure'!H53))</f>
        <v/>
      </c>
      <c r="H54" s="3">
        <f>IF('Heure par heure'!I54="","",'Heure par heure'!I54-N('Heure par heure'!I53))</f>
        <v/>
      </c>
      <c r="I54" s="3">
        <f>IF('Heure par heure'!J54="","",'Heure par heure'!J54-N('Heure par heure'!J53))</f>
        <v/>
      </c>
      <c r="J54" s="3">
        <f>IF('Heure par heure'!K54="","",'Heure par heure'!K54-N('Heure par heure'!K53))</f>
        <v/>
      </c>
      <c r="K54" s="3">
        <f>IF('Heure par heure'!L54="","",'Heure par heure'!L54-N('Heure par heure'!L53))</f>
        <v/>
      </c>
      <c r="L54" s="3">
        <f>SUM(B54:K54)</f>
        <v/>
      </c>
    </row>
    <row r="55">
      <c r="A55" s="2">
        <f>'Heure par heure'!A55</f>
        <v/>
      </c>
      <c r="B55" s="3">
        <f>IF('Heure par heure'!C55="","",'Heure par heure'!C55-N('Heure par heure'!C54))</f>
        <v/>
      </c>
      <c r="C55" s="3">
        <f>IF('Heure par heure'!D55="","",'Heure par heure'!D55-N('Heure par heure'!D54))</f>
        <v/>
      </c>
      <c r="D55" s="3">
        <f>IF('Heure par heure'!E55="","",'Heure par heure'!E55-N('Heure par heure'!E54))</f>
        <v/>
      </c>
      <c r="E55" s="3">
        <f>IF('Heure par heure'!F55="","",'Heure par heure'!F55-N('Heure par heure'!F54))</f>
        <v/>
      </c>
      <c r="F55" s="3">
        <f>IF('Heure par heure'!G55="","",'Heure par heure'!G55-N('Heure par heure'!G54))</f>
        <v/>
      </c>
      <c r="G55" s="3">
        <f>IF('Heure par heure'!H55="","",'Heure par heure'!H55-N('Heure par heure'!H54))</f>
        <v/>
      </c>
      <c r="H55" s="3">
        <f>IF('Heure par heure'!I55="","",'Heure par heure'!I55-N('Heure par heure'!I54))</f>
        <v/>
      </c>
      <c r="I55" s="3">
        <f>IF('Heure par heure'!J55="","",'Heure par heure'!J55-N('Heure par heure'!J54))</f>
        <v/>
      </c>
      <c r="J55" s="3">
        <f>IF('Heure par heure'!K55="","",'Heure par heure'!K55-N('Heure par heure'!K54))</f>
        <v/>
      </c>
      <c r="K55" s="3">
        <f>IF('Heure par heure'!L55="","",'Heure par heure'!L55-N('Heure par heure'!L54))</f>
        <v/>
      </c>
      <c r="L55" s="3">
        <f>SUM(B55:K55)</f>
        <v/>
      </c>
    </row>
    <row r="56">
      <c r="A56" s="2">
        <f>'Heure par heure'!A56</f>
        <v/>
      </c>
      <c r="B56" s="3">
        <f>IF('Heure par heure'!C56="","",'Heure par heure'!C56-N('Heure par heure'!C55))</f>
        <v/>
      </c>
      <c r="C56" s="3">
        <f>IF('Heure par heure'!D56="","",'Heure par heure'!D56-N('Heure par heure'!D55))</f>
        <v/>
      </c>
      <c r="D56" s="3">
        <f>IF('Heure par heure'!E56="","",'Heure par heure'!E56-N('Heure par heure'!E55))</f>
        <v/>
      </c>
      <c r="E56" s="3">
        <f>IF('Heure par heure'!F56="","",'Heure par heure'!F56-N('Heure par heure'!F55))</f>
        <v/>
      </c>
      <c r="F56" s="3">
        <f>IF('Heure par heure'!G56="","",'Heure par heure'!G56-N('Heure par heure'!G55))</f>
        <v/>
      </c>
      <c r="G56" s="3">
        <f>IF('Heure par heure'!H56="","",'Heure par heure'!H56-N('Heure par heure'!H55))</f>
        <v/>
      </c>
      <c r="H56" s="3">
        <f>IF('Heure par heure'!I56="","",'Heure par heure'!I56-N('Heure par heure'!I55))</f>
        <v/>
      </c>
      <c r="I56" s="3">
        <f>IF('Heure par heure'!J56="","",'Heure par heure'!J56-N('Heure par heure'!J55))</f>
        <v/>
      </c>
      <c r="J56" s="3">
        <f>IF('Heure par heure'!K56="","",'Heure par heure'!K56-N('Heure par heure'!K55))</f>
        <v/>
      </c>
      <c r="K56" s="3">
        <f>IF('Heure par heure'!L56="","",'Heure par heure'!L56-N('Heure par heure'!L55))</f>
        <v/>
      </c>
      <c r="L56" s="3">
        <f>SUM(B56:K56)</f>
        <v/>
      </c>
    </row>
    <row r="57">
      <c r="A57" s="2">
        <f>'Heure par heure'!A57</f>
        <v/>
      </c>
      <c r="B57" s="3">
        <f>IF('Heure par heure'!C57="","",'Heure par heure'!C57-N('Heure par heure'!C56))</f>
        <v/>
      </c>
      <c r="C57" s="3">
        <f>IF('Heure par heure'!D57="","",'Heure par heure'!D57-N('Heure par heure'!D56))</f>
        <v/>
      </c>
      <c r="D57" s="3">
        <f>IF('Heure par heure'!E57="","",'Heure par heure'!E57-N('Heure par heure'!E56))</f>
        <v/>
      </c>
      <c r="E57" s="3">
        <f>IF('Heure par heure'!F57="","",'Heure par heure'!F57-N('Heure par heure'!F56))</f>
        <v/>
      </c>
      <c r="F57" s="3">
        <f>IF('Heure par heure'!G57="","",'Heure par heure'!G57-N('Heure par heure'!G56))</f>
        <v/>
      </c>
      <c r="G57" s="3">
        <f>IF('Heure par heure'!H57="","",'Heure par heure'!H57-N('Heure par heure'!H56))</f>
        <v/>
      </c>
      <c r="H57" s="3">
        <f>IF('Heure par heure'!I57="","",'Heure par heure'!I57-N('Heure par heure'!I56))</f>
        <v/>
      </c>
      <c r="I57" s="3">
        <f>IF('Heure par heure'!J57="","",'Heure par heure'!J57-N('Heure par heure'!J56))</f>
        <v/>
      </c>
      <c r="J57" s="3">
        <f>IF('Heure par heure'!K57="","",'Heure par heure'!K57-N('Heure par heure'!K56))</f>
        <v/>
      </c>
      <c r="K57" s="3">
        <f>IF('Heure par heure'!L57="","",'Heure par heure'!L57-N('Heure par heure'!L56))</f>
        <v/>
      </c>
      <c r="L57" s="3">
        <f>SUM(B57:K57)</f>
        <v/>
      </c>
    </row>
    <row r="58">
      <c r="A58" s="2">
        <f>'Heure par heure'!A58</f>
        <v/>
      </c>
      <c r="B58" s="3">
        <f>IF('Heure par heure'!C58="","",'Heure par heure'!C58-N('Heure par heure'!C57))</f>
        <v/>
      </c>
      <c r="C58" s="3">
        <f>IF('Heure par heure'!D58="","",'Heure par heure'!D58-N('Heure par heure'!D57))</f>
        <v/>
      </c>
      <c r="D58" s="3">
        <f>IF('Heure par heure'!E58="","",'Heure par heure'!E58-N('Heure par heure'!E57))</f>
        <v/>
      </c>
      <c r="E58" s="3">
        <f>IF('Heure par heure'!F58="","",'Heure par heure'!F58-N('Heure par heure'!F57))</f>
        <v/>
      </c>
      <c r="F58" s="3">
        <f>IF('Heure par heure'!G58="","",'Heure par heure'!G58-N('Heure par heure'!G57))</f>
        <v/>
      </c>
      <c r="G58" s="3">
        <f>IF('Heure par heure'!H58="","",'Heure par heure'!H58-N('Heure par heure'!H57))</f>
        <v/>
      </c>
      <c r="H58" s="3">
        <f>IF('Heure par heure'!I58="","",'Heure par heure'!I58-N('Heure par heure'!I57))</f>
        <v/>
      </c>
      <c r="I58" s="3">
        <f>IF('Heure par heure'!J58="","",'Heure par heure'!J58-N('Heure par heure'!J57))</f>
        <v/>
      </c>
      <c r="J58" s="3">
        <f>IF('Heure par heure'!K58="","",'Heure par heure'!K58-N('Heure par heure'!K57))</f>
        <v/>
      </c>
      <c r="K58" s="3">
        <f>IF('Heure par heure'!L58="","",'Heure par heure'!L58-N('Heure par heure'!L57))</f>
        <v/>
      </c>
      <c r="L58" s="3">
        <f>SUM(B58:K58)</f>
        <v/>
      </c>
    </row>
    <row r="59">
      <c r="A59" s="2">
        <f>'Heure par heure'!A59</f>
        <v/>
      </c>
      <c r="B59" s="3">
        <f>IF('Heure par heure'!C59="","",'Heure par heure'!C59-N('Heure par heure'!C58))</f>
        <v/>
      </c>
      <c r="C59" s="3">
        <f>IF('Heure par heure'!D59="","",'Heure par heure'!D59-N('Heure par heure'!D58))</f>
        <v/>
      </c>
      <c r="D59" s="3">
        <f>IF('Heure par heure'!E59="","",'Heure par heure'!E59-N('Heure par heure'!E58))</f>
        <v/>
      </c>
      <c r="E59" s="3">
        <f>IF('Heure par heure'!F59="","",'Heure par heure'!F59-N('Heure par heure'!F58))</f>
        <v/>
      </c>
      <c r="F59" s="3">
        <f>IF('Heure par heure'!G59="","",'Heure par heure'!G59-N('Heure par heure'!G58))</f>
        <v/>
      </c>
      <c r="G59" s="3">
        <f>IF('Heure par heure'!H59="","",'Heure par heure'!H59-N('Heure par heure'!H58))</f>
        <v/>
      </c>
      <c r="H59" s="3">
        <f>IF('Heure par heure'!I59="","",'Heure par heure'!I59-N('Heure par heure'!I58))</f>
        <v/>
      </c>
      <c r="I59" s="3">
        <f>IF('Heure par heure'!J59="","",'Heure par heure'!J59-N('Heure par heure'!J58))</f>
        <v/>
      </c>
      <c r="J59" s="3">
        <f>IF('Heure par heure'!K59="","",'Heure par heure'!K59-N('Heure par heure'!K58))</f>
        <v/>
      </c>
      <c r="K59" s="3">
        <f>IF('Heure par heure'!L59="","",'Heure par heure'!L59-N('Heure par heure'!L58))</f>
        <v/>
      </c>
      <c r="L59" s="3">
        <f>SUM(B59:K59)</f>
        <v/>
      </c>
    </row>
    <row r="60">
      <c r="A60" s="2">
        <f>'Heure par heure'!A60</f>
        <v/>
      </c>
      <c r="B60" s="3">
        <f>IF('Heure par heure'!C60="","",'Heure par heure'!C60-N('Heure par heure'!C59))</f>
        <v/>
      </c>
      <c r="C60" s="3">
        <f>IF('Heure par heure'!D60="","",'Heure par heure'!D60-N('Heure par heure'!D59))</f>
        <v/>
      </c>
      <c r="D60" s="3">
        <f>IF('Heure par heure'!E60="","",'Heure par heure'!E60-N('Heure par heure'!E59))</f>
        <v/>
      </c>
      <c r="E60" s="3">
        <f>IF('Heure par heure'!F60="","",'Heure par heure'!F60-N('Heure par heure'!F59))</f>
        <v/>
      </c>
      <c r="F60" s="3">
        <f>IF('Heure par heure'!G60="","",'Heure par heure'!G60-N('Heure par heure'!G59))</f>
        <v/>
      </c>
      <c r="G60" s="3">
        <f>IF('Heure par heure'!H60="","",'Heure par heure'!H60-N('Heure par heure'!H59))</f>
        <v/>
      </c>
      <c r="H60" s="3">
        <f>IF('Heure par heure'!I60="","",'Heure par heure'!I60-N('Heure par heure'!I59))</f>
        <v/>
      </c>
      <c r="I60" s="3">
        <f>IF('Heure par heure'!J60="","",'Heure par heure'!J60-N('Heure par heure'!J59))</f>
        <v/>
      </c>
      <c r="J60" s="3">
        <f>IF('Heure par heure'!K60="","",'Heure par heure'!K60-N('Heure par heure'!K59))</f>
        <v/>
      </c>
      <c r="K60" s="3">
        <f>IF('Heure par heure'!L60="","",'Heure par heure'!L60-N('Heure par heure'!L59))</f>
        <v/>
      </c>
      <c r="L60" s="3">
        <f>SUM(B60:K60)</f>
        <v/>
      </c>
    </row>
    <row r="61">
      <c r="A61" s="2">
        <f>'Heure par heure'!A61</f>
        <v/>
      </c>
      <c r="B61" s="3">
        <f>IF('Heure par heure'!C61="","",'Heure par heure'!C61-N('Heure par heure'!C60))</f>
        <v/>
      </c>
      <c r="C61" s="3">
        <f>IF('Heure par heure'!D61="","",'Heure par heure'!D61-N('Heure par heure'!D60))</f>
        <v/>
      </c>
      <c r="D61" s="3">
        <f>IF('Heure par heure'!E61="","",'Heure par heure'!E61-N('Heure par heure'!E60))</f>
        <v/>
      </c>
      <c r="E61" s="3">
        <f>IF('Heure par heure'!F61="","",'Heure par heure'!F61-N('Heure par heure'!F60))</f>
        <v/>
      </c>
      <c r="F61" s="3">
        <f>IF('Heure par heure'!G61="","",'Heure par heure'!G61-N('Heure par heure'!G60))</f>
        <v/>
      </c>
      <c r="G61" s="3">
        <f>IF('Heure par heure'!H61="","",'Heure par heure'!H61-N('Heure par heure'!H60))</f>
        <v/>
      </c>
      <c r="H61" s="3">
        <f>IF('Heure par heure'!I61="","",'Heure par heure'!I61-N('Heure par heure'!I60))</f>
        <v/>
      </c>
      <c r="I61" s="3">
        <f>IF('Heure par heure'!J61="","",'Heure par heure'!J61-N('Heure par heure'!J60))</f>
        <v/>
      </c>
      <c r="J61" s="3">
        <f>IF('Heure par heure'!K61="","",'Heure par heure'!K61-N('Heure par heure'!K60))</f>
        <v/>
      </c>
      <c r="K61" s="3">
        <f>IF('Heure par heure'!L61="","",'Heure par heure'!L61-N('Heure par heure'!L60))</f>
        <v/>
      </c>
      <c r="L61" s="3">
        <f>SUM(B61:K61)</f>
        <v/>
      </c>
    </row>
    <row r="62">
      <c r="A62" s="2">
        <f>'Heure par heure'!A62</f>
        <v/>
      </c>
      <c r="B62" s="3">
        <f>IF('Heure par heure'!C62="","",'Heure par heure'!C62-N('Heure par heure'!C61))</f>
        <v/>
      </c>
      <c r="C62" s="3">
        <f>IF('Heure par heure'!D62="","",'Heure par heure'!D62-N('Heure par heure'!D61))</f>
        <v/>
      </c>
      <c r="D62" s="3">
        <f>IF('Heure par heure'!E62="","",'Heure par heure'!E62-N('Heure par heure'!E61))</f>
        <v/>
      </c>
      <c r="E62" s="3">
        <f>IF('Heure par heure'!F62="","",'Heure par heure'!F62-N('Heure par heure'!F61))</f>
        <v/>
      </c>
      <c r="F62" s="3">
        <f>IF('Heure par heure'!G62="","",'Heure par heure'!G62-N('Heure par heure'!G61))</f>
        <v/>
      </c>
      <c r="G62" s="3">
        <f>IF('Heure par heure'!H62="","",'Heure par heure'!H62-N('Heure par heure'!H61))</f>
        <v/>
      </c>
      <c r="H62" s="3">
        <f>IF('Heure par heure'!I62="","",'Heure par heure'!I62-N('Heure par heure'!I61))</f>
        <v/>
      </c>
      <c r="I62" s="3">
        <f>IF('Heure par heure'!J62="","",'Heure par heure'!J62-N('Heure par heure'!J61))</f>
        <v/>
      </c>
      <c r="J62" s="3">
        <f>IF('Heure par heure'!K62="","",'Heure par heure'!K62-N('Heure par heure'!K61))</f>
        <v/>
      </c>
      <c r="K62" s="3">
        <f>IF('Heure par heure'!L62="","",'Heure par heure'!L62-N('Heure par heure'!L61))</f>
        <v/>
      </c>
      <c r="L62" s="3">
        <f>SUM(B62:K62)</f>
        <v/>
      </c>
    </row>
    <row r="63">
      <c r="A63" s="2">
        <f>'Heure par heure'!A63</f>
        <v/>
      </c>
      <c r="B63" s="3">
        <f>IF('Heure par heure'!C63="","",'Heure par heure'!C63-N('Heure par heure'!C62))</f>
        <v/>
      </c>
      <c r="C63" s="3">
        <f>IF('Heure par heure'!D63="","",'Heure par heure'!D63-N('Heure par heure'!D62))</f>
        <v/>
      </c>
      <c r="D63" s="3">
        <f>IF('Heure par heure'!E63="","",'Heure par heure'!E63-N('Heure par heure'!E62))</f>
        <v/>
      </c>
      <c r="E63" s="3">
        <f>IF('Heure par heure'!F63="","",'Heure par heure'!F63-N('Heure par heure'!F62))</f>
        <v/>
      </c>
      <c r="F63" s="3">
        <f>IF('Heure par heure'!G63="","",'Heure par heure'!G63-N('Heure par heure'!G62))</f>
        <v/>
      </c>
      <c r="G63" s="3">
        <f>IF('Heure par heure'!H63="","",'Heure par heure'!H63-N('Heure par heure'!H62))</f>
        <v/>
      </c>
      <c r="H63" s="3">
        <f>IF('Heure par heure'!I63="","",'Heure par heure'!I63-N('Heure par heure'!I62))</f>
        <v/>
      </c>
      <c r="I63" s="3">
        <f>IF('Heure par heure'!J63="","",'Heure par heure'!J63-N('Heure par heure'!J62))</f>
        <v/>
      </c>
      <c r="J63" s="3">
        <f>IF('Heure par heure'!K63="","",'Heure par heure'!K63-N('Heure par heure'!K62))</f>
        <v/>
      </c>
      <c r="K63" s="3">
        <f>IF('Heure par heure'!L63="","",'Heure par heure'!L63-N('Heure par heure'!L62))</f>
        <v/>
      </c>
      <c r="L63" s="3">
        <f>SUM(B63:K63)</f>
        <v/>
      </c>
    </row>
    <row r="64">
      <c r="A64" s="2">
        <f>'Heure par heure'!A64</f>
        <v/>
      </c>
      <c r="B64" s="3">
        <f>IF('Heure par heure'!C64="","",'Heure par heure'!C64-N('Heure par heure'!C63))</f>
        <v/>
      </c>
      <c r="C64" s="3">
        <f>IF('Heure par heure'!D64="","",'Heure par heure'!D64-N('Heure par heure'!D63))</f>
        <v/>
      </c>
      <c r="D64" s="3">
        <f>IF('Heure par heure'!E64="","",'Heure par heure'!E64-N('Heure par heure'!E63))</f>
        <v/>
      </c>
      <c r="E64" s="3">
        <f>IF('Heure par heure'!F64="","",'Heure par heure'!F64-N('Heure par heure'!F63))</f>
        <v/>
      </c>
      <c r="F64" s="3">
        <f>IF('Heure par heure'!G64="","",'Heure par heure'!G64-N('Heure par heure'!G63))</f>
        <v/>
      </c>
      <c r="G64" s="3">
        <f>IF('Heure par heure'!H64="","",'Heure par heure'!H64-N('Heure par heure'!H63))</f>
        <v/>
      </c>
      <c r="H64" s="3">
        <f>IF('Heure par heure'!I64="","",'Heure par heure'!I64-N('Heure par heure'!I63))</f>
        <v/>
      </c>
      <c r="I64" s="3">
        <f>IF('Heure par heure'!J64="","",'Heure par heure'!J64-N('Heure par heure'!J63))</f>
        <v/>
      </c>
      <c r="J64" s="3">
        <f>IF('Heure par heure'!K64="","",'Heure par heure'!K64-N('Heure par heure'!K63))</f>
        <v/>
      </c>
      <c r="K64" s="3">
        <f>IF('Heure par heure'!L64="","",'Heure par heure'!L64-N('Heure par heure'!L63))</f>
        <v/>
      </c>
      <c r="L64" s="3">
        <f>SUM(B64:K64)</f>
        <v/>
      </c>
    </row>
    <row r="65">
      <c r="A65" s="2">
        <f>'Heure par heure'!A65</f>
        <v/>
      </c>
      <c r="B65" s="3">
        <f>IF('Heure par heure'!C65="","",'Heure par heure'!C65-N('Heure par heure'!C64))</f>
        <v/>
      </c>
      <c r="C65" s="3">
        <f>IF('Heure par heure'!D65="","",'Heure par heure'!D65-N('Heure par heure'!D64))</f>
        <v/>
      </c>
      <c r="D65" s="3">
        <f>IF('Heure par heure'!E65="","",'Heure par heure'!E65-N('Heure par heure'!E64))</f>
        <v/>
      </c>
      <c r="E65" s="3">
        <f>IF('Heure par heure'!F65="","",'Heure par heure'!F65-N('Heure par heure'!F64))</f>
        <v/>
      </c>
      <c r="F65" s="3">
        <f>IF('Heure par heure'!G65="","",'Heure par heure'!G65-N('Heure par heure'!G64))</f>
        <v/>
      </c>
      <c r="G65" s="3">
        <f>IF('Heure par heure'!H65="","",'Heure par heure'!H65-N('Heure par heure'!H64))</f>
        <v/>
      </c>
      <c r="H65" s="3">
        <f>IF('Heure par heure'!I65="","",'Heure par heure'!I65-N('Heure par heure'!I64))</f>
        <v/>
      </c>
      <c r="I65" s="3">
        <f>IF('Heure par heure'!J65="","",'Heure par heure'!J65-N('Heure par heure'!J64))</f>
        <v/>
      </c>
      <c r="J65" s="3">
        <f>IF('Heure par heure'!K65="","",'Heure par heure'!K65-N('Heure par heure'!K64))</f>
        <v/>
      </c>
      <c r="K65" s="3">
        <f>IF('Heure par heure'!L65="","",'Heure par heure'!L65-N('Heure par heure'!L64))</f>
        <v/>
      </c>
      <c r="L65" s="3">
        <f>SUM(B65:K65)</f>
        <v/>
      </c>
    </row>
    <row r="66">
      <c r="A66" s="2">
        <f>'Heure par heure'!A66</f>
        <v/>
      </c>
      <c r="B66" s="3">
        <f>IF('Heure par heure'!C66="","",'Heure par heure'!C66-N('Heure par heure'!C65))</f>
        <v/>
      </c>
      <c r="C66" s="3">
        <f>IF('Heure par heure'!D66="","",'Heure par heure'!D66-N('Heure par heure'!D65))</f>
        <v/>
      </c>
      <c r="D66" s="3">
        <f>IF('Heure par heure'!E66="","",'Heure par heure'!E66-N('Heure par heure'!E65))</f>
        <v/>
      </c>
      <c r="E66" s="3">
        <f>IF('Heure par heure'!F66="","",'Heure par heure'!F66-N('Heure par heure'!F65))</f>
        <v/>
      </c>
      <c r="F66" s="3">
        <f>IF('Heure par heure'!G66="","",'Heure par heure'!G66-N('Heure par heure'!G65))</f>
        <v/>
      </c>
      <c r="G66" s="3">
        <f>IF('Heure par heure'!H66="","",'Heure par heure'!H66-N('Heure par heure'!H65))</f>
        <v/>
      </c>
      <c r="H66" s="3">
        <f>IF('Heure par heure'!I66="","",'Heure par heure'!I66-N('Heure par heure'!I65))</f>
        <v/>
      </c>
      <c r="I66" s="3">
        <f>IF('Heure par heure'!J66="","",'Heure par heure'!J66-N('Heure par heure'!J65))</f>
        <v/>
      </c>
      <c r="J66" s="3">
        <f>IF('Heure par heure'!K66="","",'Heure par heure'!K66-N('Heure par heure'!K65))</f>
        <v/>
      </c>
      <c r="K66" s="3">
        <f>IF('Heure par heure'!L66="","",'Heure par heure'!L66-N('Heure par heure'!L65))</f>
        <v/>
      </c>
      <c r="L66" s="3">
        <f>SUM(B66:K66)</f>
        <v/>
      </c>
    </row>
    <row r="67">
      <c r="A67" s="2">
        <f>'Heure par heure'!A67</f>
        <v/>
      </c>
      <c r="B67" s="3">
        <f>IF('Heure par heure'!C67="","",'Heure par heure'!C67-N('Heure par heure'!C66))</f>
        <v/>
      </c>
      <c r="C67" s="3">
        <f>IF('Heure par heure'!D67="","",'Heure par heure'!D67-N('Heure par heure'!D66))</f>
        <v/>
      </c>
      <c r="D67" s="3">
        <f>IF('Heure par heure'!E67="","",'Heure par heure'!E67-N('Heure par heure'!E66))</f>
        <v/>
      </c>
      <c r="E67" s="3">
        <f>IF('Heure par heure'!F67="","",'Heure par heure'!F67-N('Heure par heure'!F66))</f>
        <v/>
      </c>
      <c r="F67" s="3">
        <f>IF('Heure par heure'!G67="","",'Heure par heure'!G67-N('Heure par heure'!G66))</f>
        <v/>
      </c>
      <c r="G67" s="3">
        <f>IF('Heure par heure'!H67="","",'Heure par heure'!H67-N('Heure par heure'!H66))</f>
        <v/>
      </c>
      <c r="H67" s="3">
        <f>IF('Heure par heure'!I67="","",'Heure par heure'!I67-N('Heure par heure'!I66))</f>
        <v/>
      </c>
      <c r="I67" s="3">
        <f>IF('Heure par heure'!J67="","",'Heure par heure'!J67-N('Heure par heure'!J66))</f>
        <v/>
      </c>
      <c r="J67" s="3">
        <f>IF('Heure par heure'!K67="","",'Heure par heure'!K67-N('Heure par heure'!K66))</f>
        <v/>
      </c>
      <c r="K67" s="3">
        <f>IF('Heure par heure'!L67="","",'Heure par heure'!L67-N('Heure par heure'!L66))</f>
        <v/>
      </c>
      <c r="L67" s="3">
        <f>SUM(B67:K67)</f>
        <v/>
      </c>
    </row>
    <row r="68">
      <c r="A68" s="2">
        <f>'Heure par heure'!A68</f>
        <v/>
      </c>
      <c r="B68" s="3">
        <f>IF('Heure par heure'!C68="","",'Heure par heure'!C68-N('Heure par heure'!C67))</f>
        <v/>
      </c>
      <c r="C68" s="3">
        <f>IF('Heure par heure'!D68="","",'Heure par heure'!D68-N('Heure par heure'!D67))</f>
        <v/>
      </c>
      <c r="D68" s="3">
        <f>IF('Heure par heure'!E68="","",'Heure par heure'!E68-N('Heure par heure'!E67))</f>
        <v/>
      </c>
      <c r="E68" s="3">
        <f>IF('Heure par heure'!F68="","",'Heure par heure'!F68-N('Heure par heure'!F67))</f>
        <v/>
      </c>
      <c r="F68" s="3">
        <f>IF('Heure par heure'!G68="","",'Heure par heure'!G68-N('Heure par heure'!G67))</f>
        <v/>
      </c>
      <c r="G68" s="3">
        <f>IF('Heure par heure'!H68="","",'Heure par heure'!H68-N('Heure par heure'!H67))</f>
        <v/>
      </c>
      <c r="H68" s="3">
        <f>IF('Heure par heure'!I68="","",'Heure par heure'!I68-N('Heure par heure'!I67))</f>
        <v/>
      </c>
      <c r="I68" s="3">
        <f>IF('Heure par heure'!J68="","",'Heure par heure'!J68-N('Heure par heure'!J67))</f>
        <v/>
      </c>
      <c r="J68" s="3">
        <f>IF('Heure par heure'!K68="","",'Heure par heure'!K68-N('Heure par heure'!K67))</f>
        <v/>
      </c>
      <c r="K68" s="3">
        <f>IF('Heure par heure'!L68="","",'Heure par heure'!L68-N('Heure par heure'!L67))</f>
        <v/>
      </c>
      <c r="L68" s="3">
        <f>SUM(B68:K68)</f>
        <v/>
      </c>
    </row>
    <row r="69">
      <c r="A69" s="2">
        <f>'Heure par heure'!A69</f>
        <v/>
      </c>
      <c r="B69" s="3">
        <f>IF('Heure par heure'!C69="","",'Heure par heure'!C69-N('Heure par heure'!C68))</f>
        <v/>
      </c>
      <c r="C69" s="3">
        <f>IF('Heure par heure'!D69="","",'Heure par heure'!D69-N('Heure par heure'!D68))</f>
        <v/>
      </c>
      <c r="D69" s="3">
        <f>IF('Heure par heure'!E69="","",'Heure par heure'!E69-N('Heure par heure'!E68))</f>
        <v/>
      </c>
      <c r="E69" s="3">
        <f>IF('Heure par heure'!F69="","",'Heure par heure'!F69-N('Heure par heure'!F68))</f>
        <v/>
      </c>
      <c r="F69" s="3">
        <f>IF('Heure par heure'!G69="","",'Heure par heure'!G69-N('Heure par heure'!G68))</f>
        <v/>
      </c>
      <c r="G69" s="3">
        <f>IF('Heure par heure'!H69="","",'Heure par heure'!H69-N('Heure par heure'!H68))</f>
        <v/>
      </c>
      <c r="H69" s="3">
        <f>IF('Heure par heure'!I69="","",'Heure par heure'!I69-N('Heure par heure'!I68))</f>
        <v/>
      </c>
      <c r="I69" s="3">
        <f>IF('Heure par heure'!J69="","",'Heure par heure'!J69-N('Heure par heure'!J68))</f>
        <v/>
      </c>
      <c r="J69" s="3">
        <f>IF('Heure par heure'!K69="","",'Heure par heure'!K69-N('Heure par heure'!K68))</f>
        <v/>
      </c>
      <c r="K69" s="3">
        <f>IF('Heure par heure'!L69="","",'Heure par heure'!L69-N('Heure par heure'!L68))</f>
        <v/>
      </c>
      <c r="L69" s="3">
        <f>SUM(B69:K69)</f>
        <v/>
      </c>
    </row>
    <row r="70">
      <c r="A70" s="2">
        <f>'Heure par heure'!A70</f>
        <v/>
      </c>
      <c r="B70" s="3">
        <f>IF('Heure par heure'!C70="","",'Heure par heure'!C70-N('Heure par heure'!C69))</f>
        <v/>
      </c>
      <c r="C70" s="3">
        <f>IF('Heure par heure'!D70="","",'Heure par heure'!D70-N('Heure par heure'!D69))</f>
        <v/>
      </c>
      <c r="D70" s="3">
        <f>IF('Heure par heure'!E70="","",'Heure par heure'!E70-N('Heure par heure'!E69))</f>
        <v/>
      </c>
      <c r="E70" s="3">
        <f>IF('Heure par heure'!F70="","",'Heure par heure'!F70-N('Heure par heure'!F69))</f>
        <v/>
      </c>
      <c r="F70" s="3">
        <f>IF('Heure par heure'!G70="","",'Heure par heure'!G70-N('Heure par heure'!G69))</f>
        <v/>
      </c>
      <c r="G70" s="3">
        <f>IF('Heure par heure'!H70="","",'Heure par heure'!H70-N('Heure par heure'!H69))</f>
        <v/>
      </c>
      <c r="H70" s="3">
        <f>IF('Heure par heure'!I70="","",'Heure par heure'!I70-N('Heure par heure'!I69))</f>
        <v/>
      </c>
      <c r="I70" s="3">
        <f>IF('Heure par heure'!J70="","",'Heure par heure'!J70-N('Heure par heure'!J69))</f>
        <v/>
      </c>
      <c r="J70" s="3">
        <f>IF('Heure par heure'!K70="","",'Heure par heure'!K70-N('Heure par heure'!K69))</f>
        <v/>
      </c>
      <c r="K70" s="3">
        <f>IF('Heure par heure'!L70="","",'Heure par heure'!L70-N('Heure par heure'!L69))</f>
        <v/>
      </c>
      <c r="L70" s="3">
        <f>SUM(B70:K70)</f>
        <v/>
      </c>
    </row>
    <row r="71">
      <c r="A71" s="2">
        <f>'Heure par heure'!A71</f>
        <v/>
      </c>
      <c r="B71" s="3">
        <f>IF('Heure par heure'!C71="","",'Heure par heure'!C71-N('Heure par heure'!C70))</f>
        <v/>
      </c>
      <c r="C71" s="3">
        <f>IF('Heure par heure'!D71="","",'Heure par heure'!D71-N('Heure par heure'!D70))</f>
        <v/>
      </c>
      <c r="D71" s="3">
        <f>IF('Heure par heure'!E71="","",'Heure par heure'!E71-N('Heure par heure'!E70))</f>
        <v/>
      </c>
      <c r="E71" s="3">
        <f>IF('Heure par heure'!F71="","",'Heure par heure'!F71-N('Heure par heure'!F70))</f>
        <v/>
      </c>
      <c r="F71" s="3">
        <f>IF('Heure par heure'!G71="","",'Heure par heure'!G71-N('Heure par heure'!G70))</f>
        <v/>
      </c>
      <c r="G71" s="3">
        <f>IF('Heure par heure'!H71="","",'Heure par heure'!H71-N('Heure par heure'!H70))</f>
        <v/>
      </c>
      <c r="H71" s="3">
        <f>IF('Heure par heure'!I71="","",'Heure par heure'!I71-N('Heure par heure'!I70))</f>
        <v/>
      </c>
      <c r="I71" s="3">
        <f>IF('Heure par heure'!J71="","",'Heure par heure'!J71-N('Heure par heure'!J70))</f>
        <v/>
      </c>
      <c r="J71" s="3">
        <f>IF('Heure par heure'!K71="","",'Heure par heure'!K71-N('Heure par heure'!K70))</f>
        <v/>
      </c>
      <c r="K71" s="3">
        <f>IF('Heure par heure'!L71="","",'Heure par heure'!L71-N('Heure par heure'!L70))</f>
        <v/>
      </c>
      <c r="L71" s="3">
        <f>SUM(B71:K71)</f>
        <v/>
      </c>
    </row>
    <row r="72">
      <c r="A72" s="2">
        <f>'Heure par heure'!A72</f>
        <v/>
      </c>
      <c r="B72" s="3">
        <f>IF('Heure par heure'!C72="","",'Heure par heure'!C72-N('Heure par heure'!C71))</f>
        <v/>
      </c>
      <c r="C72" s="3">
        <f>IF('Heure par heure'!D72="","",'Heure par heure'!D72-N('Heure par heure'!D71))</f>
        <v/>
      </c>
      <c r="D72" s="3">
        <f>IF('Heure par heure'!E72="","",'Heure par heure'!E72-N('Heure par heure'!E71))</f>
        <v/>
      </c>
      <c r="E72" s="3">
        <f>IF('Heure par heure'!F72="","",'Heure par heure'!F72-N('Heure par heure'!F71))</f>
        <v/>
      </c>
      <c r="F72" s="3">
        <f>IF('Heure par heure'!G72="","",'Heure par heure'!G72-N('Heure par heure'!G71))</f>
        <v/>
      </c>
      <c r="G72" s="3">
        <f>IF('Heure par heure'!H72="","",'Heure par heure'!H72-N('Heure par heure'!H71))</f>
        <v/>
      </c>
      <c r="H72" s="3">
        <f>IF('Heure par heure'!I72="","",'Heure par heure'!I72-N('Heure par heure'!I71))</f>
        <v/>
      </c>
      <c r="I72" s="3">
        <f>IF('Heure par heure'!J72="","",'Heure par heure'!J72-N('Heure par heure'!J71))</f>
        <v/>
      </c>
      <c r="J72" s="3">
        <f>IF('Heure par heure'!K72="","",'Heure par heure'!K72-N('Heure par heure'!K71))</f>
        <v/>
      </c>
      <c r="K72" s="3">
        <f>IF('Heure par heure'!L72="","",'Heure par heure'!L72-N('Heure par heure'!L71))</f>
        <v/>
      </c>
      <c r="L72" s="3">
        <f>SUM(B72:K72)</f>
        <v/>
      </c>
    </row>
    <row r="73">
      <c r="A73" s="2">
        <f>'Heure par heure'!A73</f>
        <v/>
      </c>
      <c r="B73" s="3">
        <f>IF('Heure par heure'!C73="","",'Heure par heure'!C73-N('Heure par heure'!C72))</f>
        <v/>
      </c>
      <c r="C73" s="3">
        <f>IF('Heure par heure'!D73="","",'Heure par heure'!D73-N('Heure par heure'!D72))</f>
        <v/>
      </c>
      <c r="D73" s="3">
        <f>IF('Heure par heure'!E73="","",'Heure par heure'!E73-N('Heure par heure'!E72))</f>
        <v/>
      </c>
      <c r="E73" s="3">
        <f>IF('Heure par heure'!F73="","",'Heure par heure'!F73-N('Heure par heure'!F72))</f>
        <v/>
      </c>
      <c r="F73" s="3">
        <f>IF('Heure par heure'!G73="","",'Heure par heure'!G73-N('Heure par heure'!G72))</f>
        <v/>
      </c>
      <c r="G73" s="3">
        <f>IF('Heure par heure'!H73="","",'Heure par heure'!H73-N('Heure par heure'!H72))</f>
        <v/>
      </c>
      <c r="H73" s="3">
        <f>IF('Heure par heure'!I73="","",'Heure par heure'!I73-N('Heure par heure'!I72))</f>
        <v/>
      </c>
      <c r="I73" s="3">
        <f>IF('Heure par heure'!J73="","",'Heure par heure'!J73-N('Heure par heure'!J72))</f>
        <v/>
      </c>
      <c r="J73" s="3">
        <f>IF('Heure par heure'!K73="","",'Heure par heure'!K73-N('Heure par heure'!K72))</f>
        <v/>
      </c>
      <c r="K73" s="3">
        <f>IF('Heure par heure'!L73="","",'Heure par heure'!L73-N('Heure par heure'!L72))</f>
        <v/>
      </c>
      <c r="L73" s="3">
        <f>SUM(B73:K73)</f>
        <v/>
      </c>
    </row>
    <row r="74">
      <c r="A74" s="2">
        <f>'Heure par heure'!A74</f>
        <v/>
      </c>
      <c r="B74" s="3">
        <f>IF('Heure par heure'!C74="","",'Heure par heure'!C74-N('Heure par heure'!C73))</f>
        <v/>
      </c>
      <c r="C74" s="3">
        <f>IF('Heure par heure'!D74="","",'Heure par heure'!D74-N('Heure par heure'!D73))</f>
        <v/>
      </c>
      <c r="D74" s="3">
        <f>IF('Heure par heure'!E74="","",'Heure par heure'!E74-N('Heure par heure'!E73))</f>
        <v/>
      </c>
      <c r="E74" s="3">
        <f>IF('Heure par heure'!F74="","",'Heure par heure'!F74-N('Heure par heure'!F73))</f>
        <v/>
      </c>
      <c r="F74" s="3">
        <f>IF('Heure par heure'!G74="","",'Heure par heure'!G74-N('Heure par heure'!G73))</f>
        <v/>
      </c>
      <c r="G74" s="3">
        <f>IF('Heure par heure'!H74="","",'Heure par heure'!H74-N('Heure par heure'!H73))</f>
        <v/>
      </c>
      <c r="H74" s="3">
        <f>IF('Heure par heure'!I74="","",'Heure par heure'!I74-N('Heure par heure'!I73))</f>
        <v/>
      </c>
      <c r="I74" s="3">
        <f>IF('Heure par heure'!J74="","",'Heure par heure'!J74-N('Heure par heure'!J73))</f>
        <v/>
      </c>
      <c r="J74" s="3">
        <f>IF('Heure par heure'!K74="","",'Heure par heure'!K74-N('Heure par heure'!K73))</f>
        <v/>
      </c>
      <c r="K74" s="3">
        <f>IF('Heure par heure'!L74="","",'Heure par heure'!L74-N('Heure par heure'!L73))</f>
        <v/>
      </c>
      <c r="L74" s="3">
        <f>SUM(B74:K74)</f>
        <v/>
      </c>
    </row>
    <row r="75">
      <c r="A75" s="2">
        <f>'Heure par heure'!A75</f>
        <v/>
      </c>
      <c r="B75" s="3">
        <f>IF('Heure par heure'!C75="","",'Heure par heure'!C75-N('Heure par heure'!C74))</f>
        <v/>
      </c>
      <c r="C75" s="3">
        <f>IF('Heure par heure'!D75="","",'Heure par heure'!D75-N('Heure par heure'!D74))</f>
        <v/>
      </c>
      <c r="D75" s="3">
        <f>IF('Heure par heure'!E75="","",'Heure par heure'!E75-N('Heure par heure'!E74))</f>
        <v/>
      </c>
      <c r="E75" s="3">
        <f>IF('Heure par heure'!F75="","",'Heure par heure'!F75-N('Heure par heure'!F74))</f>
        <v/>
      </c>
      <c r="F75" s="3">
        <f>IF('Heure par heure'!G75="","",'Heure par heure'!G75-N('Heure par heure'!G74))</f>
        <v/>
      </c>
      <c r="G75" s="3">
        <f>IF('Heure par heure'!H75="","",'Heure par heure'!H75-N('Heure par heure'!H74))</f>
        <v/>
      </c>
      <c r="H75" s="3">
        <f>IF('Heure par heure'!I75="","",'Heure par heure'!I75-N('Heure par heure'!I74))</f>
        <v/>
      </c>
      <c r="I75" s="3">
        <f>IF('Heure par heure'!J75="","",'Heure par heure'!J75-N('Heure par heure'!J74))</f>
        <v/>
      </c>
      <c r="J75" s="3">
        <f>IF('Heure par heure'!K75="","",'Heure par heure'!K75-N('Heure par heure'!K74))</f>
        <v/>
      </c>
      <c r="K75" s="3">
        <f>IF('Heure par heure'!L75="","",'Heure par heure'!L75-N('Heure par heure'!L74))</f>
        <v/>
      </c>
      <c r="L75" s="3">
        <f>SUM(B75:K75)</f>
        <v/>
      </c>
    </row>
    <row r="76">
      <c r="A76" s="2">
        <f>'Heure par heure'!A76</f>
        <v/>
      </c>
      <c r="B76" s="3">
        <f>IF('Heure par heure'!C76="","",'Heure par heure'!C76-N('Heure par heure'!C75))</f>
        <v/>
      </c>
      <c r="C76" s="3">
        <f>IF('Heure par heure'!D76="","",'Heure par heure'!D76-N('Heure par heure'!D75))</f>
        <v/>
      </c>
      <c r="D76" s="3">
        <f>IF('Heure par heure'!E76="","",'Heure par heure'!E76-N('Heure par heure'!E75))</f>
        <v/>
      </c>
      <c r="E76" s="3">
        <f>IF('Heure par heure'!F76="","",'Heure par heure'!F76-N('Heure par heure'!F75))</f>
        <v/>
      </c>
      <c r="F76" s="3">
        <f>IF('Heure par heure'!G76="","",'Heure par heure'!G76-N('Heure par heure'!G75))</f>
        <v/>
      </c>
      <c r="G76" s="3">
        <f>IF('Heure par heure'!H76="","",'Heure par heure'!H76-N('Heure par heure'!H75))</f>
        <v/>
      </c>
      <c r="H76" s="3">
        <f>IF('Heure par heure'!I76="","",'Heure par heure'!I76-N('Heure par heure'!I75))</f>
        <v/>
      </c>
      <c r="I76" s="3">
        <f>IF('Heure par heure'!J76="","",'Heure par heure'!J76-N('Heure par heure'!J75))</f>
        <v/>
      </c>
      <c r="J76" s="3">
        <f>IF('Heure par heure'!K76="","",'Heure par heure'!K76-N('Heure par heure'!K75))</f>
        <v/>
      </c>
      <c r="K76" s="3">
        <f>IF('Heure par heure'!L76="","",'Heure par heure'!L76-N('Heure par heure'!L75))</f>
        <v/>
      </c>
      <c r="L76" s="3">
        <f>SUM(B76:K76)</f>
        <v/>
      </c>
    </row>
    <row r="77">
      <c r="A77" s="2">
        <f>'Heure par heure'!A77</f>
        <v/>
      </c>
      <c r="B77" s="3">
        <f>IF('Heure par heure'!C77="","",'Heure par heure'!C77-N('Heure par heure'!C76))</f>
        <v/>
      </c>
      <c r="C77" s="3">
        <f>IF('Heure par heure'!D77="","",'Heure par heure'!D77-N('Heure par heure'!D76))</f>
        <v/>
      </c>
      <c r="D77" s="3">
        <f>IF('Heure par heure'!E77="","",'Heure par heure'!E77-N('Heure par heure'!E76))</f>
        <v/>
      </c>
      <c r="E77" s="3">
        <f>IF('Heure par heure'!F77="","",'Heure par heure'!F77-N('Heure par heure'!F76))</f>
        <v/>
      </c>
      <c r="F77" s="3">
        <f>IF('Heure par heure'!G77="","",'Heure par heure'!G77-N('Heure par heure'!G76))</f>
        <v/>
      </c>
      <c r="G77" s="3">
        <f>IF('Heure par heure'!H77="","",'Heure par heure'!H77-N('Heure par heure'!H76))</f>
        <v/>
      </c>
      <c r="H77" s="3">
        <f>IF('Heure par heure'!I77="","",'Heure par heure'!I77-N('Heure par heure'!I76))</f>
        <v/>
      </c>
      <c r="I77" s="3">
        <f>IF('Heure par heure'!J77="","",'Heure par heure'!J77-N('Heure par heure'!J76))</f>
        <v/>
      </c>
      <c r="J77" s="3">
        <f>IF('Heure par heure'!K77="","",'Heure par heure'!K77-N('Heure par heure'!K76))</f>
        <v/>
      </c>
      <c r="K77" s="3">
        <f>IF('Heure par heure'!L77="","",'Heure par heure'!L77-N('Heure par heure'!L76))</f>
        <v/>
      </c>
      <c r="L77" s="3">
        <f>SUM(B77:K77)</f>
        <v/>
      </c>
    </row>
    <row r="78">
      <c r="A78" s="2">
        <f>'Heure par heure'!A78</f>
        <v/>
      </c>
      <c r="B78" s="3">
        <f>IF('Heure par heure'!C78="","",'Heure par heure'!C78-N('Heure par heure'!C77))</f>
        <v/>
      </c>
      <c r="C78" s="3">
        <f>IF('Heure par heure'!D78="","",'Heure par heure'!D78-N('Heure par heure'!D77))</f>
        <v/>
      </c>
      <c r="D78" s="3">
        <f>IF('Heure par heure'!E78="","",'Heure par heure'!E78-N('Heure par heure'!E77))</f>
        <v/>
      </c>
      <c r="E78" s="3">
        <f>IF('Heure par heure'!F78="","",'Heure par heure'!F78-N('Heure par heure'!F77))</f>
        <v/>
      </c>
      <c r="F78" s="3">
        <f>IF('Heure par heure'!G78="","",'Heure par heure'!G78-N('Heure par heure'!G77))</f>
        <v/>
      </c>
      <c r="G78" s="3">
        <f>IF('Heure par heure'!H78="","",'Heure par heure'!H78-N('Heure par heure'!H77))</f>
        <v/>
      </c>
      <c r="H78" s="3">
        <f>IF('Heure par heure'!I78="","",'Heure par heure'!I78-N('Heure par heure'!I77))</f>
        <v/>
      </c>
      <c r="I78" s="3">
        <f>IF('Heure par heure'!J78="","",'Heure par heure'!J78-N('Heure par heure'!J77))</f>
        <v/>
      </c>
      <c r="J78" s="3">
        <f>IF('Heure par heure'!K78="","",'Heure par heure'!K78-N('Heure par heure'!K77))</f>
        <v/>
      </c>
      <c r="K78" s="3">
        <f>IF('Heure par heure'!L78="","",'Heure par heure'!L78-N('Heure par heure'!L77))</f>
        <v/>
      </c>
      <c r="L78" s="3">
        <f>SUM(B78:K78)</f>
        <v/>
      </c>
    </row>
    <row r="79">
      <c r="A79" s="2">
        <f>'Heure par heure'!A79</f>
        <v/>
      </c>
      <c r="B79" s="3">
        <f>IF('Heure par heure'!C79="","",'Heure par heure'!C79-N('Heure par heure'!C78))</f>
        <v/>
      </c>
      <c r="C79" s="3">
        <f>IF('Heure par heure'!D79="","",'Heure par heure'!D79-N('Heure par heure'!D78))</f>
        <v/>
      </c>
      <c r="D79" s="3">
        <f>IF('Heure par heure'!E79="","",'Heure par heure'!E79-N('Heure par heure'!E78))</f>
        <v/>
      </c>
      <c r="E79" s="3">
        <f>IF('Heure par heure'!F79="","",'Heure par heure'!F79-N('Heure par heure'!F78))</f>
        <v/>
      </c>
      <c r="F79" s="3">
        <f>IF('Heure par heure'!G79="","",'Heure par heure'!G79-N('Heure par heure'!G78))</f>
        <v/>
      </c>
      <c r="G79" s="3">
        <f>IF('Heure par heure'!H79="","",'Heure par heure'!H79-N('Heure par heure'!H78))</f>
        <v/>
      </c>
      <c r="H79" s="3">
        <f>IF('Heure par heure'!I79="","",'Heure par heure'!I79-N('Heure par heure'!I78))</f>
        <v/>
      </c>
      <c r="I79" s="3">
        <f>IF('Heure par heure'!J79="","",'Heure par heure'!J79-N('Heure par heure'!J78))</f>
        <v/>
      </c>
      <c r="J79" s="3">
        <f>IF('Heure par heure'!K79="","",'Heure par heure'!K79-N('Heure par heure'!K78))</f>
        <v/>
      </c>
      <c r="K79" s="3">
        <f>IF('Heure par heure'!L79="","",'Heure par heure'!L79-N('Heure par heure'!L78))</f>
        <v/>
      </c>
      <c r="L79" s="3">
        <f>SUM(B79:K79)</f>
        <v/>
      </c>
    </row>
    <row r="80">
      <c r="A80" s="2">
        <f>'Heure par heure'!A80</f>
        <v/>
      </c>
      <c r="B80" s="3">
        <f>IF('Heure par heure'!C80="","",'Heure par heure'!C80-N('Heure par heure'!C79))</f>
        <v/>
      </c>
      <c r="C80" s="3">
        <f>IF('Heure par heure'!D80="","",'Heure par heure'!D80-N('Heure par heure'!D79))</f>
        <v/>
      </c>
      <c r="D80" s="3">
        <f>IF('Heure par heure'!E80="","",'Heure par heure'!E80-N('Heure par heure'!E79))</f>
        <v/>
      </c>
      <c r="E80" s="3">
        <f>IF('Heure par heure'!F80="","",'Heure par heure'!F80-N('Heure par heure'!F79))</f>
        <v/>
      </c>
      <c r="F80" s="3">
        <f>IF('Heure par heure'!G80="","",'Heure par heure'!G80-N('Heure par heure'!G79))</f>
        <v/>
      </c>
      <c r="G80" s="3">
        <f>IF('Heure par heure'!H80="","",'Heure par heure'!H80-N('Heure par heure'!H79))</f>
        <v/>
      </c>
      <c r="H80" s="3">
        <f>IF('Heure par heure'!I80="","",'Heure par heure'!I80-N('Heure par heure'!I79))</f>
        <v/>
      </c>
      <c r="I80" s="3">
        <f>IF('Heure par heure'!J80="","",'Heure par heure'!J80-N('Heure par heure'!J79))</f>
        <v/>
      </c>
      <c r="J80" s="3">
        <f>IF('Heure par heure'!K80="","",'Heure par heure'!K80-N('Heure par heure'!K79))</f>
        <v/>
      </c>
      <c r="K80" s="3">
        <f>IF('Heure par heure'!L80="","",'Heure par heure'!L80-N('Heure par heure'!L79))</f>
        <v/>
      </c>
      <c r="L80" s="3">
        <f>SUM(B80:K80)</f>
        <v/>
      </c>
    </row>
    <row r="81">
      <c r="A81" s="2">
        <f>'Heure par heure'!A81</f>
        <v/>
      </c>
      <c r="B81" s="3">
        <f>IF('Heure par heure'!C81="","",'Heure par heure'!C81-N('Heure par heure'!C80))</f>
        <v/>
      </c>
      <c r="C81" s="3">
        <f>IF('Heure par heure'!D81="","",'Heure par heure'!D81-N('Heure par heure'!D80))</f>
        <v/>
      </c>
      <c r="D81" s="3">
        <f>IF('Heure par heure'!E81="","",'Heure par heure'!E81-N('Heure par heure'!E80))</f>
        <v/>
      </c>
      <c r="E81" s="3">
        <f>IF('Heure par heure'!F81="","",'Heure par heure'!F81-N('Heure par heure'!F80))</f>
        <v/>
      </c>
      <c r="F81" s="3">
        <f>IF('Heure par heure'!G81="","",'Heure par heure'!G81-N('Heure par heure'!G80))</f>
        <v/>
      </c>
      <c r="G81" s="3">
        <f>IF('Heure par heure'!H81="","",'Heure par heure'!H81-N('Heure par heure'!H80))</f>
        <v/>
      </c>
      <c r="H81" s="3">
        <f>IF('Heure par heure'!I81="","",'Heure par heure'!I81-N('Heure par heure'!I80))</f>
        <v/>
      </c>
      <c r="I81" s="3">
        <f>IF('Heure par heure'!J81="","",'Heure par heure'!J81-N('Heure par heure'!J80))</f>
        <v/>
      </c>
      <c r="J81" s="3">
        <f>IF('Heure par heure'!K81="","",'Heure par heure'!K81-N('Heure par heure'!K80))</f>
        <v/>
      </c>
      <c r="K81" s="3">
        <f>IF('Heure par heure'!L81="","",'Heure par heure'!L81-N('Heure par heure'!L80))</f>
        <v/>
      </c>
      <c r="L81" s="3">
        <f>SUM(B81:K81)</f>
        <v/>
      </c>
    </row>
    <row r="82">
      <c r="A82" s="2">
        <f>'Heure par heure'!A82</f>
        <v/>
      </c>
      <c r="B82" s="3">
        <f>IF('Heure par heure'!C82="","",'Heure par heure'!C82-N('Heure par heure'!C81))</f>
        <v/>
      </c>
      <c r="C82" s="3">
        <f>IF('Heure par heure'!D82="","",'Heure par heure'!D82-N('Heure par heure'!D81))</f>
        <v/>
      </c>
      <c r="D82" s="3">
        <f>IF('Heure par heure'!E82="","",'Heure par heure'!E82-N('Heure par heure'!E81))</f>
        <v/>
      </c>
      <c r="E82" s="3">
        <f>IF('Heure par heure'!F82="","",'Heure par heure'!F82-N('Heure par heure'!F81))</f>
        <v/>
      </c>
      <c r="F82" s="3">
        <f>IF('Heure par heure'!G82="","",'Heure par heure'!G82-N('Heure par heure'!G81))</f>
        <v/>
      </c>
      <c r="G82" s="3">
        <f>IF('Heure par heure'!H82="","",'Heure par heure'!H82-N('Heure par heure'!H81))</f>
        <v/>
      </c>
      <c r="H82" s="3">
        <f>IF('Heure par heure'!I82="","",'Heure par heure'!I82-N('Heure par heure'!I81))</f>
        <v/>
      </c>
      <c r="I82" s="3">
        <f>IF('Heure par heure'!J82="","",'Heure par heure'!J82-N('Heure par heure'!J81))</f>
        <v/>
      </c>
      <c r="J82" s="3">
        <f>IF('Heure par heure'!K82="","",'Heure par heure'!K82-N('Heure par heure'!K81))</f>
        <v/>
      </c>
      <c r="K82" s="3">
        <f>IF('Heure par heure'!L82="","",'Heure par heure'!L82-N('Heure par heure'!L81))</f>
        <v/>
      </c>
      <c r="L82" s="3">
        <f>SUM(B82:K82)</f>
        <v/>
      </c>
    </row>
    <row r="83">
      <c r="A83" s="2">
        <f>'Heure par heure'!A83</f>
        <v/>
      </c>
      <c r="B83" s="3">
        <f>IF('Heure par heure'!C83="","",'Heure par heure'!C83-N('Heure par heure'!C82))</f>
        <v/>
      </c>
      <c r="C83" s="3">
        <f>IF('Heure par heure'!D83="","",'Heure par heure'!D83-N('Heure par heure'!D82))</f>
        <v/>
      </c>
      <c r="D83" s="3">
        <f>IF('Heure par heure'!E83="","",'Heure par heure'!E83-N('Heure par heure'!E82))</f>
        <v/>
      </c>
      <c r="E83" s="3">
        <f>IF('Heure par heure'!F83="","",'Heure par heure'!F83-N('Heure par heure'!F82))</f>
        <v/>
      </c>
      <c r="F83" s="3">
        <f>IF('Heure par heure'!G83="","",'Heure par heure'!G83-N('Heure par heure'!G82))</f>
        <v/>
      </c>
      <c r="G83" s="3">
        <f>IF('Heure par heure'!H83="","",'Heure par heure'!H83-N('Heure par heure'!H82))</f>
        <v/>
      </c>
      <c r="H83" s="3">
        <f>IF('Heure par heure'!I83="","",'Heure par heure'!I83-N('Heure par heure'!I82))</f>
        <v/>
      </c>
      <c r="I83" s="3">
        <f>IF('Heure par heure'!J83="","",'Heure par heure'!J83-N('Heure par heure'!J82))</f>
        <v/>
      </c>
      <c r="J83" s="3">
        <f>IF('Heure par heure'!K83="","",'Heure par heure'!K83-N('Heure par heure'!K82))</f>
        <v/>
      </c>
      <c r="K83" s="3">
        <f>IF('Heure par heure'!L83="","",'Heure par heure'!L83-N('Heure par heure'!L82))</f>
        <v/>
      </c>
      <c r="L83" s="3">
        <f>SUM(B83:K83)</f>
        <v/>
      </c>
    </row>
    <row r="84">
      <c r="A84" s="2">
        <f>'Heure par heure'!A84</f>
        <v/>
      </c>
      <c r="B84" s="3">
        <f>IF('Heure par heure'!C84="","",'Heure par heure'!C84-N('Heure par heure'!C83))</f>
        <v/>
      </c>
      <c r="C84" s="3">
        <f>IF('Heure par heure'!D84="","",'Heure par heure'!D84-N('Heure par heure'!D83))</f>
        <v/>
      </c>
      <c r="D84" s="3">
        <f>IF('Heure par heure'!E84="","",'Heure par heure'!E84-N('Heure par heure'!E83))</f>
        <v/>
      </c>
      <c r="E84" s="3">
        <f>IF('Heure par heure'!F84="","",'Heure par heure'!F84-N('Heure par heure'!F83))</f>
        <v/>
      </c>
      <c r="F84" s="3">
        <f>IF('Heure par heure'!G84="","",'Heure par heure'!G84-N('Heure par heure'!G83))</f>
        <v/>
      </c>
      <c r="G84" s="3">
        <f>IF('Heure par heure'!H84="","",'Heure par heure'!H84-N('Heure par heure'!H83))</f>
        <v/>
      </c>
      <c r="H84" s="3">
        <f>IF('Heure par heure'!I84="","",'Heure par heure'!I84-N('Heure par heure'!I83))</f>
        <v/>
      </c>
      <c r="I84" s="3">
        <f>IF('Heure par heure'!J84="","",'Heure par heure'!J84-N('Heure par heure'!J83))</f>
        <v/>
      </c>
      <c r="J84" s="3">
        <f>IF('Heure par heure'!K84="","",'Heure par heure'!K84-N('Heure par heure'!K83))</f>
        <v/>
      </c>
      <c r="K84" s="3">
        <f>IF('Heure par heure'!L84="","",'Heure par heure'!L84-N('Heure par heure'!L83))</f>
        <v/>
      </c>
      <c r="L84" s="3">
        <f>SUM(B84:K84)</f>
        <v/>
      </c>
    </row>
    <row r="85">
      <c r="A85" s="2">
        <f>'Heure par heure'!A85</f>
        <v/>
      </c>
      <c r="B85" s="3">
        <f>IF('Heure par heure'!C85="","",'Heure par heure'!C85-N('Heure par heure'!C84))</f>
        <v/>
      </c>
      <c r="C85" s="3">
        <f>IF('Heure par heure'!D85="","",'Heure par heure'!D85-N('Heure par heure'!D84))</f>
        <v/>
      </c>
      <c r="D85" s="3">
        <f>IF('Heure par heure'!E85="","",'Heure par heure'!E85-N('Heure par heure'!E84))</f>
        <v/>
      </c>
      <c r="E85" s="3">
        <f>IF('Heure par heure'!F85="","",'Heure par heure'!F85-N('Heure par heure'!F84))</f>
        <v/>
      </c>
      <c r="F85" s="3">
        <f>IF('Heure par heure'!G85="","",'Heure par heure'!G85-N('Heure par heure'!G84))</f>
        <v/>
      </c>
      <c r="G85" s="3">
        <f>IF('Heure par heure'!H85="","",'Heure par heure'!H85-N('Heure par heure'!H84))</f>
        <v/>
      </c>
      <c r="H85" s="3">
        <f>IF('Heure par heure'!I85="","",'Heure par heure'!I85-N('Heure par heure'!I84))</f>
        <v/>
      </c>
      <c r="I85" s="3">
        <f>IF('Heure par heure'!J85="","",'Heure par heure'!J85-N('Heure par heure'!J84))</f>
        <v/>
      </c>
      <c r="J85" s="3">
        <f>IF('Heure par heure'!K85="","",'Heure par heure'!K85-N('Heure par heure'!K84))</f>
        <v/>
      </c>
      <c r="K85" s="3">
        <f>IF('Heure par heure'!L85="","",'Heure par heure'!L85-N('Heure par heure'!L84))</f>
        <v/>
      </c>
      <c r="L85" s="3">
        <f>SUM(B85:K85)</f>
        <v/>
      </c>
    </row>
    <row r="86">
      <c r="A86" s="2">
        <f>'Heure par heure'!A86</f>
        <v/>
      </c>
      <c r="B86" s="3">
        <f>IF('Heure par heure'!C86="","",'Heure par heure'!C86-N('Heure par heure'!C85))</f>
        <v/>
      </c>
      <c r="C86" s="3">
        <f>IF('Heure par heure'!D86="","",'Heure par heure'!D86-N('Heure par heure'!D85))</f>
        <v/>
      </c>
      <c r="D86" s="3">
        <f>IF('Heure par heure'!E86="","",'Heure par heure'!E86-N('Heure par heure'!E85))</f>
        <v/>
      </c>
      <c r="E86" s="3">
        <f>IF('Heure par heure'!F86="","",'Heure par heure'!F86-N('Heure par heure'!F85))</f>
        <v/>
      </c>
      <c r="F86" s="3">
        <f>IF('Heure par heure'!G86="","",'Heure par heure'!G86-N('Heure par heure'!G85))</f>
        <v/>
      </c>
      <c r="G86" s="3">
        <f>IF('Heure par heure'!H86="","",'Heure par heure'!H86-N('Heure par heure'!H85))</f>
        <v/>
      </c>
      <c r="H86" s="3">
        <f>IF('Heure par heure'!I86="","",'Heure par heure'!I86-N('Heure par heure'!I85))</f>
        <v/>
      </c>
      <c r="I86" s="3">
        <f>IF('Heure par heure'!J86="","",'Heure par heure'!J86-N('Heure par heure'!J85))</f>
        <v/>
      </c>
      <c r="J86" s="3">
        <f>IF('Heure par heure'!K86="","",'Heure par heure'!K86-N('Heure par heure'!K85))</f>
        <v/>
      </c>
      <c r="K86" s="3">
        <f>IF('Heure par heure'!L86="","",'Heure par heure'!L86-N('Heure par heure'!L85))</f>
        <v/>
      </c>
      <c r="L86" s="3">
        <f>SUM(B86:K86)</f>
        <v/>
      </c>
    </row>
    <row r="87">
      <c r="A87" s="2">
        <f>'Heure par heure'!A87</f>
        <v/>
      </c>
      <c r="B87" s="3">
        <f>IF('Heure par heure'!C87="","",'Heure par heure'!C87-N('Heure par heure'!C86))</f>
        <v/>
      </c>
      <c r="C87" s="3">
        <f>IF('Heure par heure'!D87="","",'Heure par heure'!D87-N('Heure par heure'!D86))</f>
        <v/>
      </c>
      <c r="D87" s="3">
        <f>IF('Heure par heure'!E87="","",'Heure par heure'!E87-N('Heure par heure'!E86))</f>
        <v/>
      </c>
      <c r="E87" s="3">
        <f>IF('Heure par heure'!F87="","",'Heure par heure'!F87-N('Heure par heure'!F86))</f>
        <v/>
      </c>
      <c r="F87" s="3">
        <f>IF('Heure par heure'!G87="","",'Heure par heure'!G87-N('Heure par heure'!G86))</f>
        <v/>
      </c>
      <c r="G87" s="3">
        <f>IF('Heure par heure'!H87="","",'Heure par heure'!H87-N('Heure par heure'!H86))</f>
        <v/>
      </c>
      <c r="H87" s="3">
        <f>IF('Heure par heure'!I87="","",'Heure par heure'!I87-N('Heure par heure'!I86))</f>
        <v/>
      </c>
      <c r="I87" s="3">
        <f>IF('Heure par heure'!J87="","",'Heure par heure'!J87-N('Heure par heure'!J86))</f>
        <v/>
      </c>
      <c r="J87" s="3">
        <f>IF('Heure par heure'!K87="","",'Heure par heure'!K87-N('Heure par heure'!K86))</f>
        <v/>
      </c>
      <c r="K87" s="3">
        <f>IF('Heure par heure'!L87="","",'Heure par heure'!L87-N('Heure par heure'!L86))</f>
        <v/>
      </c>
      <c r="L87" s="3">
        <f>SUM(B87:K87)</f>
        <v/>
      </c>
    </row>
    <row r="88">
      <c r="A88" s="2">
        <f>'Heure par heure'!A88</f>
        <v/>
      </c>
      <c r="B88" s="3">
        <f>IF('Heure par heure'!C88="","",'Heure par heure'!C88-N('Heure par heure'!C87))</f>
        <v/>
      </c>
      <c r="C88" s="3">
        <f>IF('Heure par heure'!D88="","",'Heure par heure'!D88-N('Heure par heure'!D87))</f>
        <v/>
      </c>
      <c r="D88" s="3">
        <f>IF('Heure par heure'!E88="","",'Heure par heure'!E88-N('Heure par heure'!E87))</f>
        <v/>
      </c>
      <c r="E88" s="3">
        <f>IF('Heure par heure'!F88="","",'Heure par heure'!F88-N('Heure par heure'!F87))</f>
        <v/>
      </c>
      <c r="F88" s="3">
        <f>IF('Heure par heure'!G88="","",'Heure par heure'!G88-N('Heure par heure'!G87))</f>
        <v/>
      </c>
      <c r="G88" s="3">
        <f>IF('Heure par heure'!H88="","",'Heure par heure'!H88-N('Heure par heure'!H87))</f>
        <v/>
      </c>
      <c r="H88" s="3">
        <f>IF('Heure par heure'!I88="","",'Heure par heure'!I88-N('Heure par heure'!I87))</f>
        <v/>
      </c>
      <c r="I88" s="3">
        <f>IF('Heure par heure'!J88="","",'Heure par heure'!J88-N('Heure par heure'!J87))</f>
        <v/>
      </c>
      <c r="J88" s="3">
        <f>IF('Heure par heure'!K88="","",'Heure par heure'!K88-N('Heure par heure'!K87))</f>
        <v/>
      </c>
      <c r="K88" s="3">
        <f>IF('Heure par heure'!L88="","",'Heure par heure'!L88-N('Heure par heure'!L87))</f>
        <v/>
      </c>
      <c r="L88" s="3">
        <f>SUM(B88:K88)</f>
        <v/>
      </c>
    </row>
    <row r="89">
      <c r="A89" s="2">
        <f>'Heure par heure'!A89</f>
        <v/>
      </c>
      <c r="B89" s="3">
        <f>IF('Heure par heure'!C89="","",'Heure par heure'!C89-N('Heure par heure'!C88))</f>
        <v/>
      </c>
      <c r="C89" s="3">
        <f>IF('Heure par heure'!D89="","",'Heure par heure'!D89-N('Heure par heure'!D88))</f>
        <v/>
      </c>
      <c r="D89" s="3">
        <f>IF('Heure par heure'!E89="","",'Heure par heure'!E89-N('Heure par heure'!E88))</f>
        <v/>
      </c>
      <c r="E89" s="3">
        <f>IF('Heure par heure'!F89="","",'Heure par heure'!F89-N('Heure par heure'!F88))</f>
        <v/>
      </c>
      <c r="F89" s="3">
        <f>IF('Heure par heure'!G89="","",'Heure par heure'!G89-N('Heure par heure'!G88))</f>
        <v/>
      </c>
      <c r="G89" s="3">
        <f>IF('Heure par heure'!H89="","",'Heure par heure'!H89-N('Heure par heure'!H88))</f>
        <v/>
      </c>
      <c r="H89" s="3">
        <f>IF('Heure par heure'!I89="","",'Heure par heure'!I89-N('Heure par heure'!I88))</f>
        <v/>
      </c>
      <c r="I89" s="3">
        <f>IF('Heure par heure'!J89="","",'Heure par heure'!J89-N('Heure par heure'!J88))</f>
        <v/>
      </c>
      <c r="J89" s="3">
        <f>IF('Heure par heure'!K89="","",'Heure par heure'!K89-N('Heure par heure'!K88))</f>
        <v/>
      </c>
      <c r="K89" s="3">
        <f>IF('Heure par heure'!L89="","",'Heure par heure'!L89-N('Heure par heure'!L88))</f>
        <v/>
      </c>
      <c r="L89" s="3">
        <f>SUM(B89:K89)</f>
        <v/>
      </c>
    </row>
    <row r="90">
      <c r="A90" s="2">
        <f>'Heure par heure'!A90</f>
        <v/>
      </c>
      <c r="B90" s="3">
        <f>IF('Heure par heure'!C90="","",'Heure par heure'!C90-N('Heure par heure'!C89))</f>
        <v/>
      </c>
      <c r="C90" s="3">
        <f>IF('Heure par heure'!D90="","",'Heure par heure'!D90-N('Heure par heure'!D89))</f>
        <v/>
      </c>
      <c r="D90" s="3">
        <f>IF('Heure par heure'!E90="","",'Heure par heure'!E90-N('Heure par heure'!E89))</f>
        <v/>
      </c>
      <c r="E90" s="3">
        <f>IF('Heure par heure'!F90="","",'Heure par heure'!F90-N('Heure par heure'!F89))</f>
        <v/>
      </c>
      <c r="F90" s="3">
        <f>IF('Heure par heure'!G90="","",'Heure par heure'!G90-N('Heure par heure'!G89))</f>
        <v/>
      </c>
      <c r="G90" s="3">
        <f>IF('Heure par heure'!H90="","",'Heure par heure'!H90-N('Heure par heure'!H89))</f>
        <v/>
      </c>
      <c r="H90" s="3">
        <f>IF('Heure par heure'!I90="","",'Heure par heure'!I90-N('Heure par heure'!I89))</f>
        <v/>
      </c>
      <c r="I90" s="3">
        <f>IF('Heure par heure'!J90="","",'Heure par heure'!J90-N('Heure par heure'!J89))</f>
        <v/>
      </c>
      <c r="J90" s="3">
        <f>IF('Heure par heure'!K90="","",'Heure par heure'!K90-N('Heure par heure'!K89))</f>
        <v/>
      </c>
      <c r="K90" s="3">
        <f>IF('Heure par heure'!L90="","",'Heure par heure'!L90-N('Heure par heure'!L89))</f>
        <v/>
      </c>
      <c r="L90" s="3">
        <f>SUM(B90:K90)</f>
        <v/>
      </c>
    </row>
    <row r="91">
      <c r="A91" s="2">
        <f>'Heure par heure'!A91</f>
        <v/>
      </c>
      <c r="B91" s="3">
        <f>IF('Heure par heure'!C91="","",'Heure par heure'!C91-N('Heure par heure'!C90))</f>
        <v/>
      </c>
      <c r="C91" s="3">
        <f>IF('Heure par heure'!D91="","",'Heure par heure'!D91-N('Heure par heure'!D90))</f>
        <v/>
      </c>
      <c r="D91" s="3">
        <f>IF('Heure par heure'!E91="","",'Heure par heure'!E91-N('Heure par heure'!E90))</f>
        <v/>
      </c>
      <c r="E91" s="3">
        <f>IF('Heure par heure'!F91="","",'Heure par heure'!F91-N('Heure par heure'!F90))</f>
        <v/>
      </c>
      <c r="F91" s="3">
        <f>IF('Heure par heure'!G91="","",'Heure par heure'!G91-N('Heure par heure'!G90))</f>
        <v/>
      </c>
      <c r="G91" s="3">
        <f>IF('Heure par heure'!H91="","",'Heure par heure'!H91-N('Heure par heure'!H90))</f>
        <v/>
      </c>
      <c r="H91" s="3">
        <f>IF('Heure par heure'!I91="","",'Heure par heure'!I91-N('Heure par heure'!I90))</f>
        <v/>
      </c>
      <c r="I91" s="3">
        <f>IF('Heure par heure'!J91="","",'Heure par heure'!J91-N('Heure par heure'!J90))</f>
        <v/>
      </c>
      <c r="J91" s="3">
        <f>IF('Heure par heure'!K91="","",'Heure par heure'!K91-N('Heure par heure'!K90))</f>
        <v/>
      </c>
      <c r="K91" s="3">
        <f>IF('Heure par heure'!L91="","",'Heure par heure'!L91-N('Heure par heure'!L90))</f>
        <v/>
      </c>
      <c r="L91" s="3">
        <f>SUM(B91:K91)</f>
        <v/>
      </c>
    </row>
    <row r="92">
      <c r="A92" s="2">
        <f>'Heure par heure'!A92</f>
        <v/>
      </c>
      <c r="B92" s="3">
        <f>IF('Heure par heure'!C92="","",'Heure par heure'!C92-N('Heure par heure'!C91))</f>
        <v/>
      </c>
      <c r="C92" s="3">
        <f>IF('Heure par heure'!D92="","",'Heure par heure'!D92-N('Heure par heure'!D91))</f>
        <v/>
      </c>
      <c r="D92" s="3">
        <f>IF('Heure par heure'!E92="","",'Heure par heure'!E92-N('Heure par heure'!E91))</f>
        <v/>
      </c>
      <c r="E92" s="3">
        <f>IF('Heure par heure'!F92="","",'Heure par heure'!F92-N('Heure par heure'!F91))</f>
        <v/>
      </c>
      <c r="F92" s="3">
        <f>IF('Heure par heure'!G92="","",'Heure par heure'!G92-N('Heure par heure'!G91))</f>
        <v/>
      </c>
      <c r="G92" s="3">
        <f>IF('Heure par heure'!H92="","",'Heure par heure'!H92-N('Heure par heure'!H91))</f>
        <v/>
      </c>
      <c r="H92" s="3">
        <f>IF('Heure par heure'!I92="","",'Heure par heure'!I92-N('Heure par heure'!I91))</f>
        <v/>
      </c>
      <c r="I92" s="3">
        <f>IF('Heure par heure'!J92="","",'Heure par heure'!J92-N('Heure par heure'!J91))</f>
        <v/>
      </c>
      <c r="J92" s="3">
        <f>IF('Heure par heure'!K92="","",'Heure par heure'!K92-N('Heure par heure'!K91))</f>
        <v/>
      </c>
      <c r="K92" s="3">
        <f>IF('Heure par heure'!L92="","",'Heure par heure'!L92-N('Heure par heure'!L91))</f>
        <v/>
      </c>
      <c r="L92" s="3">
        <f>SUM(B92:K92)</f>
        <v/>
      </c>
    </row>
    <row r="93">
      <c r="A93" s="2">
        <f>'Heure par heure'!A93</f>
        <v/>
      </c>
      <c r="B93" s="3">
        <f>IF('Heure par heure'!C93="","",'Heure par heure'!C93-N('Heure par heure'!C92))</f>
        <v/>
      </c>
      <c r="C93" s="3">
        <f>IF('Heure par heure'!D93="","",'Heure par heure'!D93-N('Heure par heure'!D92))</f>
        <v/>
      </c>
      <c r="D93" s="3">
        <f>IF('Heure par heure'!E93="","",'Heure par heure'!E93-N('Heure par heure'!E92))</f>
        <v/>
      </c>
      <c r="E93" s="3">
        <f>IF('Heure par heure'!F93="","",'Heure par heure'!F93-N('Heure par heure'!F92))</f>
        <v/>
      </c>
      <c r="F93" s="3">
        <f>IF('Heure par heure'!G93="","",'Heure par heure'!G93-N('Heure par heure'!G92))</f>
        <v/>
      </c>
      <c r="G93" s="3">
        <f>IF('Heure par heure'!H93="","",'Heure par heure'!H93-N('Heure par heure'!H92))</f>
        <v/>
      </c>
      <c r="H93" s="3">
        <f>IF('Heure par heure'!I93="","",'Heure par heure'!I93-N('Heure par heure'!I92))</f>
        <v/>
      </c>
      <c r="I93" s="3">
        <f>IF('Heure par heure'!J93="","",'Heure par heure'!J93-N('Heure par heure'!J92))</f>
        <v/>
      </c>
      <c r="J93" s="3">
        <f>IF('Heure par heure'!K93="","",'Heure par heure'!K93-N('Heure par heure'!K92))</f>
        <v/>
      </c>
      <c r="K93" s="3">
        <f>IF('Heure par heure'!L93="","",'Heure par heure'!L93-N('Heure par heure'!L92))</f>
        <v/>
      </c>
      <c r="L93" s="3">
        <f>SUM(B93:K93)</f>
        <v/>
      </c>
    </row>
    <row r="94">
      <c r="A94" s="2">
        <f>'Heure par heure'!A94</f>
        <v/>
      </c>
      <c r="B94" s="3">
        <f>IF('Heure par heure'!C94="","",'Heure par heure'!C94-N('Heure par heure'!C93))</f>
        <v/>
      </c>
      <c r="C94" s="3">
        <f>IF('Heure par heure'!D94="","",'Heure par heure'!D94-N('Heure par heure'!D93))</f>
        <v/>
      </c>
      <c r="D94" s="3">
        <f>IF('Heure par heure'!E94="","",'Heure par heure'!E94-N('Heure par heure'!E93))</f>
        <v/>
      </c>
      <c r="E94" s="3">
        <f>IF('Heure par heure'!F94="","",'Heure par heure'!F94-N('Heure par heure'!F93))</f>
        <v/>
      </c>
      <c r="F94" s="3">
        <f>IF('Heure par heure'!G94="","",'Heure par heure'!G94-N('Heure par heure'!G93))</f>
        <v/>
      </c>
      <c r="G94" s="3">
        <f>IF('Heure par heure'!H94="","",'Heure par heure'!H94-N('Heure par heure'!H93))</f>
        <v/>
      </c>
      <c r="H94" s="3">
        <f>IF('Heure par heure'!I94="","",'Heure par heure'!I94-N('Heure par heure'!I93))</f>
        <v/>
      </c>
      <c r="I94" s="3">
        <f>IF('Heure par heure'!J94="","",'Heure par heure'!J94-N('Heure par heure'!J93))</f>
        <v/>
      </c>
      <c r="J94" s="3">
        <f>IF('Heure par heure'!K94="","",'Heure par heure'!K94-N('Heure par heure'!K93))</f>
        <v/>
      </c>
      <c r="K94" s="3">
        <f>IF('Heure par heure'!L94="","",'Heure par heure'!L94-N('Heure par heure'!L93))</f>
        <v/>
      </c>
      <c r="L94" s="3">
        <f>SUM(B94:K94)</f>
        <v/>
      </c>
    </row>
    <row r="95">
      <c r="A95" s="2">
        <f>'Heure par heure'!A95</f>
        <v/>
      </c>
      <c r="B95" s="3">
        <f>IF('Heure par heure'!C95="","",'Heure par heure'!C95-N('Heure par heure'!C94))</f>
        <v/>
      </c>
      <c r="C95" s="3">
        <f>IF('Heure par heure'!D95="","",'Heure par heure'!D95-N('Heure par heure'!D94))</f>
        <v/>
      </c>
      <c r="D95" s="3">
        <f>IF('Heure par heure'!E95="","",'Heure par heure'!E95-N('Heure par heure'!E94))</f>
        <v/>
      </c>
      <c r="E95" s="3">
        <f>IF('Heure par heure'!F95="","",'Heure par heure'!F95-N('Heure par heure'!F94))</f>
        <v/>
      </c>
      <c r="F95" s="3">
        <f>IF('Heure par heure'!G95="","",'Heure par heure'!G95-N('Heure par heure'!G94))</f>
        <v/>
      </c>
      <c r="G95" s="3">
        <f>IF('Heure par heure'!H95="","",'Heure par heure'!H95-N('Heure par heure'!H94))</f>
        <v/>
      </c>
      <c r="H95" s="3">
        <f>IF('Heure par heure'!I95="","",'Heure par heure'!I95-N('Heure par heure'!I94))</f>
        <v/>
      </c>
      <c r="I95" s="3">
        <f>IF('Heure par heure'!J95="","",'Heure par heure'!J95-N('Heure par heure'!J94))</f>
        <v/>
      </c>
      <c r="J95" s="3">
        <f>IF('Heure par heure'!K95="","",'Heure par heure'!K95-N('Heure par heure'!K94))</f>
        <v/>
      </c>
      <c r="K95" s="3">
        <f>IF('Heure par heure'!L95="","",'Heure par heure'!L95-N('Heure par heure'!L94))</f>
        <v/>
      </c>
      <c r="L95" s="3">
        <f>SUM(B95:K95)</f>
        <v/>
      </c>
    </row>
    <row r="96">
      <c r="A96" s="2">
        <f>'Heure par heure'!A96</f>
        <v/>
      </c>
      <c r="B96" s="3">
        <f>IF('Heure par heure'!C96="","",'Heure par heure'!C96-N('Heure par heure'!C95))</f>
        <v/>
      </c>
      <c r="C96" s="3">
        <f>IF('Heure par heure'!D96="","",'Heure par heure'!D96-N('Heure par heure'!D95))</f>
        <v/>
      </c>
      <c r="D96" s="3">
        <f>IF('Heure par heure'!E96="","",'Heure par heure'!E96-N('Heure par heure'!E95))</f>
        <v/>
      </c>
      <c r="E96" s="3">
        <f>IF('Heure par heure'!F96="","",'Heure par heure'!F96-N('Heure par heure'!F95))</f>
        <v/>
      </c>
      <c r="F96" s="3">
        <f>IF('Heure par heure'!G96="","",'Heure par heure'!G96-N('Heure par heure'!G95))</f>
        <v/>
      </c>
      <c r="G96" s="3">
        <f>IF('Heure par heure'!H96="","",'Heure par heure'!H96-N('Heure par heure'!H95))</f>
        <v/>
      </c>
      <c r="H96" s="3">
        <f>IF('Heure par heure'!I96="","",'Heure par heure'!I96-N('Heure par heure'!I95))</f>
        <v/>
      </c>
      <c r="I96" s="3">
        <f>IF('Heure par heure'!J96="","",'Heure par heure'!J96-N('Heure par heure'!J95))</f>
        <v/>
      </c>
      <c r="J96" s="3">
        <f>IF('Heure par heure'!K96="","",'Heure par heure'!K96-N('Heure par heure'!K95))</f>
        <v/>
      </c>
      <c r="K96" s="3">
        <f>IF('Heure par heure'!L96="","",'Heure par heure'!L96-N('Heure par heure'!L95))</f>
        <v/>
      </c>
      <c r="L96" s="3">
        <f>SUM(B96:K96)</f>
        <v/>
      </c>
    </row>
    <row r="97">
      <c r="A97" s="2">
        <f>'Heure par heure'!A97</f>
        <v/>
      </c>
      <c r="B97" s="3">
        <f>IF('Heure par heure'!C97="","",'Heure par heure'!C97-N('Heure par heure'!C96))</f>
        <v/>
      </c>
      <c r="C97" s="3">
        <f>IF('Heure par heure'!D97="","",'Heure par heure'!D97-N('Heure par heure'!D96))</f>
        <v/>
      </c>
      <c r="D97" s="3">
        <f>IF('Heure par heure'!E97="","",'Heure par heure'!E97-N('Heure par heure'!E96))</f>
        <v/>
      </c>
      <c r="E97" s="3">
        <f>IF('Heure par heure'!F97="","",'Heure par heure'!F97-N('Heure par heure'!F96))</f>
        <v/>
      </c>
      <c r="F97" s="3">
        <f>IF('Heure par heure'!G97="","",'Heure par heure'!G97-N('Heure par heure'!G96))</f>
        <v/>
      </c>
      <c r="G97" s="3">
        <f>IF('Heure par heure'!H97="","",'Heure par heure'!H97-N('Heure par heure'!H96))</f>
        <v/>
      </c>
      <c r="H97" s="3">
        <f>IF('Heure par heure'!I97="","",'Heure par heure'!I97-N('Heure par heure'!I96))</f>
        <v/>
      </c>
      <c r="I97" s="3">
        <f>IF('Heure par heure'!J97="","",'Heure par heure'!J97-N('Heure par heure'!J96))</f>
        <v/>
      </c>
      <c r="J97" s="3">
        <f>IF('Heure par heure'!K97="","",'Heure par heure'!K97-N('Heure par heure'!K96))</f>
        <v/>
      </c>
      <c r="K97" s="3">
        <f>IF('Heure par heure'!L97="","",'Heure par heure'!L97-N('Heure par heure'!L96))</f>
        <v/>
      </c>
      <c r="L97" s="3">
        <f>SUM(B97:K97)</f>
        <v/>
      </c>
    </row>
    <row r="98">
      <c r="A98" s="2">
        <f>'Heure par heure'!A98</f>
        <v/>
      </c>
      <c r="B98" s="3">
        <f>IF('Heure par heure'!C98="","",'Heure par heure'!C98-N('Heure par heure'!C97))</f>
        <v/>
      </c>
      <c r="C98" s="3">
        <f>IF('Heure par heure'!D98="","",'Heure par heure'!D98-N('Heure par heure'!D97))</f>
        <v/>
      </c>
      <c r="D98" s="3">
        <f>IF('Heure par heure'!E98="","",'Heure par heure'!E98-N('Heure par heure'!E97))</f>
        <v/>
      </c>
      <c r="E98" s="3">
        <f>IF('Heure par heure'!F98="","",'Heure par heure'!F98-N('Heure par heure'!F97))</f>
        <v/>
      </c>
      <c r="F98" s="3">
        <f>IF('Heure par heure'!G98="","",'Heure par heure'!G98-N('Heure par heure'!G97))</f>
        <v/>
      </c>
      <c r="G98" s="3">
        <f>IF('Heure par heure'!H98="","",'Heure par heure'!H98-N('Heure par heure'!H97))</f>
        <v/>
      </c>
      <c r="H98" s="3">
        <f>IF('Heure par heure'!I98="","",'Heure par heure'!I98-N('Heure par heure'!I97))</f>
        <v/>
      </c>
      <c r="I98" s="3">
        <f>IF('Heure par heure'!J98="","",'Heure par heure'!J98-N('Heure par heure'!J97))</f>
        <v/>
      </c>
      <c r="J98" s="3">
        <f>IF('Heure par heure'!K98="","",'Heure par heure'!K98-N('Heure par heure'!K97))</f>
        <v/>
      </c>
      <c r="K98" s="3">
        <f>IF('Heure par heure'!L98="","",'Heure par heure'!L98-N('Heure par heure'!L97))</f>
        <v/>
      </c>
      <c r="L98" s="3">
        <f>SUM(B98:K98)</f>
        <v/>
      </c>
    </row>
    <row r="99">
      <c r="A99" s="2">
        <f>'Heure par heure'!A99</f>
        <v/>
      </c>
      <c r="B99" s="3">
        <f>IF('Heure par heure'!C99="","",'Heure par heure'!C99-N('Heure par heure'!C98))</f>
        <v/>
      </c>
      <c r="C99" s="3">
        <f>IF('Heure par heure'!D99="","",'Heure par heure'!D99-N('Heure par heure'!D98))</f>
        <v/>
      </c>
      <c r="D99" s="3">
        <f>IF('Heure par heure'!E99="","",'Heure par heure'!E99-N('Heure par heure'!E98))</f>
        <v/>
      </c>
      <c r="E99" s="3">
        <f>IF('Heure par heure'!F99="","",'Heure par heure'!F99-N('Heure par heure'!F98))</f>
        <v/>
      </c>
      <c r="F99" s="3">
        <f>IF('Heure par heure'!G99="","",'Heure par heure'!G99-N('Heure par heure'!G98))</f>
        <v/>
      </c>
      <c r="G99" s="3">
        <f>IF('Heure par heure'!H99="","",'Heure par heure'!H99-N('Heure par heure'!H98))</f>
        <v/>
      </c>
      <c r="H99" s="3">
        <f>IF('Heure par heure'!I99="","",'Heure par heure'!I99-N('Heure par heure'!I98))</f>
        <v/>
      </c>
      <c r="I99" s="3">
        <f>IF('Heure par heure'!J99="","",'Heure par heure'!J99-N('Heure par heure'!J98))</f>
        <v/>
      </c>
      <c r="J99" s="3">
        <f>IF('Heure par heure'!K99="","",'Heure par heure'!K99-N('Heure par heure'!K98))</f>
        <v/>
      </c>
      <c r="K99" s="3">
        <f>IF('Heure par heure'!L99="","",'Heure par heure'!L99-N('Heure par heure'!L98))</f>
        <v/>
      </c>
      <c r="L99" s="3">
        <f>SUM(B99:K99)</f>
        <v/>
      </c>
    </row>
    <row r="100">
      <c r="A100" s="2">
        <f>'Heure par heure'!A100</f>
        <v/>
      </c>
      <c r="B100" s="3">
        <f>IF('Heure par heure'!C100="","",'Heure par heure'!C100-N('Heure par heure'!C99))</f>
        <v/>
      </c>
      <c r="C100" s="3">
        <f>IF('Heure par heure'!D100="","",'Heure par heure'!D100-N('Heure par heure'!D99))</f>
        <v/>
      </c>
      <c r="D100" s="3">
        <f>IF('Heure par heure'!E100="","",'Heure par heure'!E100-N('Heure par heure'!E99))</f>
        <v/>
      </c>
      <c r="E100" s="3">
        <f>IF('Heure par heure'!F100="","",'Heure par heure'!F100-N('Heure par heure'!F99))</f>
        <v/>
      </c>
      <c r="F100" s="3">
        <f>IF('Heure par heure'!G100="","",'Heure par heure'!G100-N('Heure par heure'!G99))</f>
        <v/>
      </c>
      <c r="G100" s="3">
        <f>IF('Heure par heure'!H100="","",'Heure par heure'!H100-N('Heure par heure'!H99))</f>
        <v/>
      </c>
      <c r="H100" s="3">
        <f>IF('Heure par heure'!I100="","",'Heure par heure'!I100-N('Heure par heure'!I99))</f>
        <v/>
      </c>
      <c r="I100" s="3">
        <f>IF('Heure par heure'!J100="","",'Heure par heure'!J100-N('Heure par heure'!J99))</f>
        <v/>
      </c>
      <c r="J100" s="3">
        <f>IF('Heure par heure'!K100="","",'Heure par heure'!K100-N('Heure par heure'!K99))</f>
        <v/>
      </c>
      <c r="K100" s="3">
        <f>IF('Heure par heure'!L100="","",'Heure par heure'!L100-N('Heure par heure'!L99))</f>
        <v/>
      </c>
      <c r="L100" s="3">
        <f>SUM(B100:K100)</f>
        <v/>
      </c>
    </row>
    <row r="101">
      <c r="A101" s="2">
        <f>'Heure par heure'!A101</f>
        <v/>
      </c>
      <c r="B101" s="3">
        <f>IF('Heure par heure'!C101="","",'Heure par heure'!C101-N('Heure par heure'!C100))</f>
        <v/>
      </c>
      <c r="C101" s="3">
        <f>IF('Heure par heure'!D101="","",'Heure par heure'!D101-N('Heure par heure'!D100))</f>
        <v/>
      </c>
      <c r="D101" s="3">
        <f>IF('Heure par heure'!E101="","",'Heure par heure'!E101-N('Heure par heure'!E100))</f>
        <v/>
      </c>
      <c r="E101" s="3">
        <f>IF('Heure par heure'!F101="","",'Heure par heure'!F101-N('Heure par heure'!F100))</f>
        <v/>
      </c>
      <c r="F101" s="3">
        <f>IF('Heure par heure'!G101="","",'Heure par heure'!G101-N('Heure par heure'!G100))</f>
        <v/>
      </c>
      <c r="G101" s="3">
        <f>IF('Heure par heure'!H101="","",'Heure par heure'!H101-N('Heure par heure'!H100))</f>
        <v/>
      </c>
      <c r="H101" s="3">
        <f>IF('Heure par heure'!I101="","",'Heure par heure'!I101-N('Heure par heure'!I100))</f>
        <v/>
      </c>
      <c r="I101" s="3">
        <f>IF('Heure par heure'!J101="","",'Heure par heure'!J101-N('Heure par heure'!J100))</f>
        <v/>
      </c>
      <c r="J101" s="3">
        <f>IF('Heure par heure'!K101="","",'Heure par heure'!K101-N('Heure par heure'!K100))</f>
        <v/>
      </c>
      <c r="K101" s="3">
        <f>IF('Heure par heure'!L101="","",'Heure par heure'!L101-N('Heure par heure'!L100))</f>
        <v/>
      </c>
      <c r="L101" s="3">
        <f>SUM(B101:K101)</f>
        <v/>
      </c>
    </row>
    <row r="102">
      <c r="A102" s="2">
        <f>'Heure par heure'!A102</f>
        <v/>
      </c>
      <c r="B102" s="3">
        <f>IF('Heure par heure'!C102="","",'Heure par heure'!C102-N('Heure par heure'!C101))</f>
        <v/>
      </c>
      <c r="C102" s="3">
        <f>IF('Heure par heure'!D102="","",'Heure par heure'!D102-N('Heure par heure'!D101))</f>
        <v/>
      </c>
      <c r="D102" s="3">
        <f>IF('Heure par heure'!E102="","",'Heure par heure'!E102-N('Heure par heure'!E101))</f>
        <v/>
      </c>
      <c r="E102" s="3">
        <f>IF('Heure par heure'!F102="","",'Heure par heure'!F102-N('Heure par heure'!F101))</f>
        <v/>
      </c>
      <c r="F102" s="3">
        <f>IF('Heure par heure'!G102="","",'Heure par heure'!G102-N('Heure par heure'!G101))</f>
        <v/>
      </c>
      <c r="G102" s="3">
        <f>IF('Heure par heure'!H102="","",'Heure par heure'!H102-N('Heure par heure'!H101))</f>
        <v/>
      </c>
      <c r="H102" s="3">
        <f>IF('Heure par heure'!I102="","",'Heure par heure'!I102-N('Heure par heure'!I101))</f>
        <v/>
      </c>
      <c r="I102" s="3">
        <f>IF('Heure par heure'!J102="","",'Heure par heure'!J102-N('Heure par heure'!J101))</f>
        <v/>
      </c>
      <c r="J102" s="3">
        <f>IF('Heure par heure'!K102="","",'Heure par heure'!K102-N('Heure par heure'!K101))</f>
        <v/>
      </c>
      <c r="K102" s="3">
        <f>IF('Heure par heure'!L102="","",'Heure par heure'!L102-N('Heure par heure'!L101))</f>
        <v/>
      </c>
      <c r="L102" s="3">
        <f>SUM(B102:K102)</f>
        <v/>
      </c>
    </row>
    <row r="103">
      <c r="A103" s="2">
        <f>'Heure par heure'!A103</f>
        <v/>
      </c>
      <c r="B103" s="3">
        <f>IF('Heure par heure'!C103="","",'Heure par heure'!C103-N('Heure par heure'!C102))</f>
        <v/>
      </c>
      <c r="C103" s="3">
        <f>IF('Heure par heure'!D103="","",'Heure par heure'!D103-N('Heure par heure'!D102))</f>
        <v/>
      </c>
      <c r="D103" s="3">
        <f>IF('Heure par heure'!E103="","",'Heure par heure'!E103-N('Heure par heure'!E102))</f>
        <v/>
      </c>
      <c r="E103" s="3">
        <f>IF('Heure par heure'!F103="","",'Heure par heure'!F103-N('Heure par heure'!F102))</f>
        <v/>
      </c>
      <c r="F103" s="3">
        <f>IF('Heure par heure'!G103="","",'Heure par heure'!G103-N('Heure par heure'!G102))</f>
        <v/>
      </c>
      <c r="G103" s="3">
        <f>IF('Heure par heure'!H103="","",'Heure par heure'!H103-N('Heure par heure'!H102))</f>
        <v/>
      </c>
      <c r="H103" s="3">
        <f>IF('Heure par heure'!I103="","",'Heure par heure'!I103-N('Heure par heure'!I102))</f>
        <v/>
      </c>
      <c r="I103" s="3">
        <f>IF('Heure par heure'!J103="","",'Heure par heure'!J103-N('Heure par heure'!J102))</f>
        <v/>
      </c>
      <c r="J103" s="3">
        <f>IF('Heure par heure'!K103="","",'Heure par heure'!K103-N('Heure par heure'!K102))</f>
        <v/>
      </c>
      <c r="K103" s="3">
        <f>IF('Heure par heure'!L103="","",'Heure par heure'!L103-N('Heure par heure'!L102))</f>
        <v/>
      </c>
      <c r="L103" s="3">
        <f>SUM(B103:K103)</f>
        <v/>
      </c>
    </row>
    <row r="104">
      <c r="A104" s="2">
        <f>'Heure par heure'!A104</f>
        <v/>
      </c>
      <c r="B104" s="3">
        <f>IF('Heure par heure'!C104="","",'Heure par heure'!C104-N('Heure par heure'!C103))</f>
        <v/>
      </c>
      <c r="C104" s="3">
        <f>IF('Heure par heure'!D104="","",'Heure par heure'!D104-N('Heure par heure'!D103))</f>
        <v/>
      </c>
      <c r="D104" s="3">
        <f>IF('Heure par heure'!E104="","",'Heure par heure'!E104-N('Heure par heure'!E103))</f>
        <v/>
      </c>
      <c r="E104" s="3">
        <f>IF('Heure par heure'!F104="","",'Heure par heure'!F104-N('Heure par heure'!F103))</f>
        <v/>
      </c>
      <c r="F104" s="3">
        <f>IF('Heure par heure'!G104="","",'Heure par heure'!G104-N('Heure par heure'!G103))</f>
        <v/>
      </c>
      <c r="G104" s="3">
        <f>IF('Heure par heure'!H104="","",'Heure par heure'!H104-N('Heure par heure'!H103))</f>
        <v/>
      </c>
      <c r="H104" s="3">
        <f>IF('Heure par heure'!I104="","",'Heure par heure'!I104-N('Heure par heure'!I103))</f>
        <v/>
      </c>
      <c r="I104" s="3">
        <f>IF('Heure par heure'!J104="","",'Heure par heure'!J104-N('Heure par heure'!J103))</f>
        <v/>
      </c>
      <c r="J104" s="3">
        <f>IF('Heure par heure'!K104="","",'Heure par heure'!K104-N('Heure par heure'!K103))</f>
        <v/>
      </c>
      <c r="K104" s="3">
        <f>IF('Heure par heure'!L104="","",'Heure par heure'!L104-N('Heure par heure'!L103))</f>
        <v/>
      </c>
      <c r="L104" s="3">
        <f>SUM(B104:K104)</f>
        <v/>
      </c>
    </row>
    <row r="105">
      <c r="A105" s="2">
        <f>'Heure par heure'!A105</f>
        <v/>
      </c>
      <c r="B105" s="3">
        <f>IF('Heure par heure'!C105="","",'Heure par heure'!C105-N('Heure par heure'!C104))</f>
        <v/>
      </c>
      <c r="C105" s="3">
        <f>IF('Heure par heure'!D105="","",'Heure par heure'!D105-N('Heure par heure'!D104))</f>
        <v/>
      </c>
      <c r="D105" s="3">
        <f>IF('Heure par heure'!E105="","",'Heure par heure'!E105-N('Heure par heure'!E104))</f>
        <v/>
      </c>
      <c r="E105" s="3">
        <f>IF('Heure par heure'!F105="","",'Heure par heure'!F105-N('Heure par heure'!F104))</f>
        <v/>
      </c>
      <c r="F105" s="3">
        <f>IF('Heure par heure'!G105="","",'Heure par heure'!G105-N('Heure par heure'!G104))</f>
        <v/>
      </c>
      <c r="G105" s="3">
        <f>IF('Heure par heure'!H105="","",'Heure par heure'!H105-N('Heure par heure'!H104))</f>
        <v/>
      </c>
      <c r="H105" s="3">
        <f>IF('Heure par heure'!I105="","",'Heure par heure'!I105-N('Heure par heure'!I104))</f>
        <v/>
      </c>
      <c r="I105" s="3">
        <f>IF('Heure par heure'!J105="","",'Heure par heure'!J105-N('Heure par heure'!J104))</f>
        <v/>
      </c>
      <c r="J105" s="3">
        <f>IF('Heure par heure'!K105="","",'Heure par heure'!K105-N('Heure par heure'!K104))</f>
        <v/>
      </c>
      <c r="K105" s="3">
        <f>IF('Heure par heure'!L105="","",'Heure par heure'!L105-N('Heure par heure'!L104))</f>
        <v/>
      </c>
      <c r="L105" s="3">
        <f>SUM(B105:K105)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1" customWidth="1" min="3" max="3"/>
    <col width="9" customWidth="1" min="4" max="4"/>
    <col width="9" customWidth="1" min="5" max="5"/>
    <col width="11" customWidth="1" min="6" max="6"/>
    <col width="11" customWidth="1" min="7" max="7"/>
    <col width="11" customWidth="1" min="8" max="8"/>
    <col width="10" customWidth="1" min="9" max="9"/>
  </cols>
  <sheetData>
    <row r="1" ht="32" customHeight="1">
      <c r="A1" s="1" t="inlineStr">
        <is>
          <t>Publiée le</t>
        </is>
      </c>
      <c r="B1" s="1" t="inlineStr">
        <is>
          <t>Vues</t>
        </is>
      </c>
      <c r="C1" s="1" t="inlineStr">
        <is>
          <t>Comptes touchés</t>
        </is>
      </c>
      <c r="D1" s="1" t="inlineStr">
        <is>
          <t>Réponses</t>
        </is>
      </c>
      <c r="E1" s="1" t="inlineStr">
        <is>
          <t>Partages</t>
        </is>
      </c>
      <c r="F1" s="1" t="inlineStr">
        <is>
          <t>Abonnements</t>
        </is>
      </c>
      <c r="G1" s="1" t="inlineStr">
        <is>
          <t>Visites du profil</t>
        </is>
      </c>
      <c r="H1" s="1" t="inlineStr">
        <is>
          <t>Interactions</t>
        </is>
      </c>
      <c r="I1" s="1" t="inlineStr">
        <is>
          <t>Lien</t>
        </is>
      </c>
    </row>
    <row r="2">
      <c r="A2" s="2" t="inlineStr">
        <is>
          <t>2026-10-17 17:45</t>
        </is>
      </c>
      <c r="B2" s="3" t="n">
        <v>4</v>
      </c>
      <c r="C2" s="3" t="n">
        <v>0</v>
      </c>
      <c r="D2" s="3" t="n">
        <v>0</v>
      </c>
      <c r="E2" s="3" t="n">
        <v>0</v>
      </c>
      <c r="F2" s="3" t="n">
        <v>0</v>
      </c>
      <c r="G2" s="3" t="n">
        <v>1</v>
      </c>
      <c r="H2" s="3" t="n">
        <v>1</v>
      </c>
      <c r="I2" s="2" t="inlineStr">
        <is>
          <t>ouvrir</t>
        </is>
      </c>
    </row>
    <row r="3">
      <c r="A3" s="2" t="inlineStr">
        <is>
          <t>2026-10-17 17:50</t>
        </is>
      </c>
      <c r="B3" s="3" t="n">
        <v>2</v>
      </c>
      <c r="C3" s="3" t="n">
        <v>0</v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3</v>
      </c>
      <c r="I3" s="2" t="inlineStr">
        <is>
          <t>ouvrir</t>
        </is>
      </c>
    </row>
    <row r="4">
      <c r="A4" s="2" t="inlineStr">
        <is>
          <t>2026-10-18 10:14</t>
        </is>
      </c>
      <c r="B4" s="3" t="n">
        <v>5</v>
      </c>
      <c r="C4" s="3" t="n">
        <v>0</v>
      </c>
      <c r="D4" s="3" t="n">
        <v>0</v>
      </c>
      <c r="E4" s="3" t="n">
        <v>0</v>
      </c>
      <c r="F4" s="3" t="n">
        <v>0</v>
      </c>
      <c r="G4" s="3" t="n">
        <v>1</v>
      </c>
      <c r="H4" s="3" t="n">
        <v>1</v>
      </c>
      <c r="I4" s="2" t="inlineStr">
        <is>
          <t>ouvrir</t>
        </is>
      </c>
    </row>
    <row r="5">
      <c r="A5" s="2" t="inlineStr">
        <is>
          <t>2026-10-18 10:36</t>
        </is>
      </c>
      <c r="B5" s="3" t="n">
        <v>5</v>
      </c>
      <c r="C5" s="3" t="n">
        <v>0</v>
      </c>
      <c r="D5" s="3" t="n">
        <v>0</v>
      </c>
      <c r="E5" s="3" t="n">
        <v>0</v>
      </c>
      <c r="F5" s="3" t="n">
        <v>0</v>
      </c>
      <c r="G5" s="3" t="n">
        <v>0</v>
      </c>
      <c r="H5" s="3" t="n">
        <v>1</v>
      </c>
      <c r="I5" s="2" t="inlineStr">
        <is>
          <t>ouvrir</t>
        </is>
      </c>
    </row>
    <row r="6">
      <c r="A6" s="2" t="inlineStr">
        <is>
          <t>2026-10-18 13:04</t>
        </is>
      </c>
      <c r="B6" s="3" t="n">
        <v>4</v>
      </c>
      <c r="C6" s="3" t="n">
        <v>0</v>
      </c>
      <c r="D6" s="3" t="n">
        <v>0</v>
      </c>
      <c r="E6" s="3" t="n">
        <v>0</v>
      </c>
      <c r="F6" s="3" t="n">
        <v>0</v>
      </c>
      <c r="G6" s="3" t="n">
        <v>0</v>
      </c>
      <c r="H6" s="3" t="n">
        <v>1</v>
      </c>
      <c r="I6" s="2" t="inlineStr">
        <is>
          <t>ouvrir</t>
        </is>
      </c>
    </row>
    <row r="7">
      <c r="A7" s="2" t="inlineStr">
        <is>
          <t>2026-10-18 13:04</t>
        </is>
      </c>
      <c r="B7" s="3" t="n">
        <v>4</v>
      </c>
      <c r="C7" s="3" t="n">
        <v>0</v>
      </c>
      <c r="D7" s="3" t="n">
        <v>0</v>
      </c>
      <c r="E7" s="3" t="n">
        <v>0</v>
      </c>
      <c r="F7" s="3" t="n">
        <v>0</v>
      </c>
      <c r="G7" s="3" t="n">
        <v>0</v>
      </c>
      <c r="H7" s="3" t="n">
        <v>1</v>
      </c>
      <c r="I7" s="2" t="inlineStr">
        <is>
          <t>ouvrir</t>
        </is>
      </c>
    </row>
    <row r="8">
      <c r="A8" s="2" t="inlineStr">
        <is>
          <t>2026-10-18 13:53</t>
        </is>
      </c>
      <c r="B8" s="3" t="n">
        <v>4</v>
      </c>
      <c r="C8" s="3" t="n">
        <v>0</v>
      </c>
      <c r="D8" s="3" t="n">
        <v>0</v>
      </c>
      <c r="E8" s="3" t="n">
        <v>0</v>
      </c>
      <c r="F8" s="3" t="n">
        <v>0</v>
      </c>
      <c r="G8" s="3" t="n">
        <v>0</v>
      </c>
      <c r="H8" s="3" t="n">
        <v>2</v>
      </c>
      <c r="I8" s="2" t="inlineStr">
        <is>
          <t>ouvrir</t>
        </is>
      </c>
    </row>
    <row r="9">
      <c r="A9" s="2" t="inlineStr">
        <is>
          <t>2026-10-18 19:51</t>
        </is>
      </c>
      <c r="B9" s="3" t="n">
        <v>5</v>
      </c>
      <c r="C9" s="3" t="n">
        <v>0</v>
      </c>
      <c r="D9" s="3" t="n">
        <v>0</v>
      </c>
      <c r="E9" s="3" t="n">
        <v>0</v>
      </c>
      <c r="F9" s="3" t="n">
        <v>0</v>
      </c>
      <c r="G9" s="3" t="n">
        <v>0</v>
      </c>
      <c r="H9" s="3" t="n">
        <v>1</v>
      </c>
      <c r="I9" s="2" t="inlineStr">
        <is>
          <t>ouvrir</t>
        </is>
      </c>
    </row>
    <row r="10">
      <c r="A10" s="2" t="inlineStr">
        <is>
          <t>2026-10-18 20:19</t>
        </is>
      </c>
      <c r="B10" s="3" t="n">
        <v>5</v>
      </c>
      <c r="C10" s="3" t="n">
        <v>0</v>
      </c>
      <c r="D10" s="3" t="n">
        <v>0</v>
      </c>
      <c r="E10" s="3" t="n">
        <v>0</v>
      </c>
      <c r="F10" s="3" t="n">
        <v>0</v>
      </c>
      <c r="G10" s="3" t="n">
        <v>0</v>
      </c>
      <c r="H10" s="3" t="n">
        <v>1</v>
      </c>
      <c r="I10" s="2" t="inlineStr">
        <is>
          <t>ouvrir</t>
        </is>
      </c>
    </row>
    <row r="11">
      <c r="A11" s="2" t="inlineStr">
        <is>
          <t>2026-10-19 06:14</t>
        </is>
      </c>
      <c r="B11" s="3" t="n">
        <v>3</v>
      </c>
      <c r="C11" s="3" t="n">
        <v>0</v>
      </c>
      <c r="D11" s="3" t="n">
        <v>0</v>
      </c>
      <c r="E11" s="3" t="n">
        <v>0</v>
      </c>
      <c r="F11" s="3" t="n">
        <v>0</v>
      </c>
      <c r="G11" s="3" t="n">
        <v>1</v>
      </c>
      <c r="H11" s="3" t="n">
        <v>1</v>
      </c>
      <c r="I11" s="2" t="inlineStr">
        <is>
          <t>ouvrir</t>
        </is>
      </c>
    </row>
    <row r="12">
      <c r="A12" s="2" t="inlineStr">
        <is>
          <t>2026-10-19 06:57</t>
        </is>
      </c>
      <c r="B12" s="3" t="n">
        <v>3</v>
      </c>
      <c r="C12" s="3" t="n">
        <v>0</v>
      </c>
      <c r="D12" s="3" t="n">
        <v>0</v>
      </c>
      <c r="E12" s="3" t="n">
        <v>0</v>
      </c>
      <c r="F12" s="3" t="n">
        <v>0</v>
      </c>
      <c r="G12" s="3" t="n">
        <v>1</v>
      </c>
      <c r="H12" s="3" t="n">
        <v>1</v>
      </c>
      <c r="I12" s="2" t="inlineStr">
        <is>
          <t>ouvrir</t>
        </is>
      </c>
    </row>
    <row r="13">
      <c r="A13" s="2" t="inlineStr">
        <is>
          <t>2026-10-19 08:14</t>
        </is>
      </c>
      <c r="B13" s="3" t="n">
        <v>1</v>
      </c>
      <c r="C13" s="3" t="n">
        <v>0</v>
      </c>
      <c r="D13" s="3" t="n">
        <v>0</v>
      </c>
      <c r="E13" s="3" t="n">
        <v>0</v>
      </c>
      <c r="F13" s="3" t="n">
        <v>0</v>
      </c>
      <c r="G13" s="3" t="n">
        <v>0</v>
      </c>
      <c r="H13" s="3" t="n">
        <v>1</v>
      </c>
      <c r="I13" s="2" t="inlineStr">
        <is>
          <t>ouvrir</t>
        </is>
      </c>
    </row>
    <row r="14">
      <c r="A14" s="2" t="inlineStr">
        <is>
          <t>2026-10-19 08:14</t>
        </is>
      </c>
      <c r="B14" s="3" t="n">
        <v>2</v>
      </c>
      <c r="C14" s="3" t="n">
        <v>0</v>
      </c>
      <c r="D14" s="3" t="n">
        <v>0</v>
      </c>
      <c r="E14" s="3" t="n">
        <v>0</v>
      </c>
      <c r="F14" s="3" t="n">
        <v>0</v>
      </c>
      <c r="G14" s="3" t="n">
        <v>0</v>
      </c>
      <c r="H14" s="3" t="n">
        <v>1</v>
      </c>
      <c r="I14" s="2" t="inlineStr">
        <is>
          <t>ouvrir</t>
        </is>
      </c>
    </row>
    <row r="15">
      <c r="A15" s="2" t="inlineStr">
        <is>
          <t>2026-10-19 08:18</t>
        </is>
      </c>
      <c r="B15" s="3" t="n">
        <v>1</v>
      </c>
      <c r="C15" s="3" t="n">
        <v>0</v>
      </c>
      <c r="D15" s="3" t="n">
        <v>0</v>
      </c>
      <c r="E15" s="3" t="n">
        <v>0</v>
      </c>
      <c r="F15" s="3" t="n">
        <v>0</v>
      </c>
      <c r="G15" s="3" t="n">
        <v>0</v>
      </c>
      <c r="H15" s="3" t="n">
        <v>1</v>
      </c>
      <c r="I15" s="2" t="inlineStr">
        <is>
          <t>ouvrir</t>
        </is>
      </c>
    </row>
    <row r="16">
      <c r="A16" s="2" t="inlineStr">
        <is>
          <t>2026-10-19 09:09</t>
        </is>
      </c>
      <c r="B16" s="3" t="n">
        <v>1</v>
      </c>
      <c r="C16" s="3" t="n">
        <v>0</v>
      </c>
      <c r="D16" s="3" t="n">
        <v>0</v>
      </c>
      <c r="E16" s="3" t="n">
        <v>0</v>
      </c>
      <c r="F16" s="3" t="n">
        <v>0</v>
      </c>
      <c r="G16" s="3" t="n">
        <v>0</v>
      </c>
      <c r="H16" s="3" t="n">
        <v>0</v>
      </c>
      <c r="I16" s="2" t="inlineStr">
        <is>
          <t>ouvrir</t>
        </is>
      </c>
    </row>
    <row r="17">
      <c r="A17" s="2" t="inlineStr">
        <is>
          <t>2026-10-19 09:12</t>
        </is>
      </c>
      <c r="B17" s="3" t="n">
        <v>0</v>
      </c>
      <c r="C17" s="3" t="n">
        <v>0</v>
      </c>
      <c r="D17" s="3" t="n">
        <v>0</v>
      </c>
      <c r="E17" s="3" t="n">
        <v>0</v>
      </c>
      <c r="F17" s="3" t="n">
        <v>0</v>
      </c>
      <c r="G17" s="3" t="n">
        <v>0</v>
      </c>
      <c r="H17" s="3" t="n">
        <v>0</v>
      </c>
      <c r="I17" s="2" t="inlineStr">
        <is>
          <t>ouvrir</t>
        </is>
      </c>
    </row>
    <row r="18">
      <c r="A18" s="2" t="inlineStr">
        <is>
          <t>2026-10-19 09:13</t>
        </is>
      </c>
      <c r="B18" s="3" t="n">
        <v>0</v>
      </c>
      <c r="C18" s="3" t="n">
        <v>0</v>
      </c>
      <c r="D18" s="3" t="n">
        <v>0</v>
      </c>
      <c r="E18" s="3" t="n">
        <v>0</v>
      </c>
      <c r="F18" s="3" t="n">
        <v>0</v>
      </c>
      <c r="G18" s="3" t="n">
        <v>0</v>
      </c>
      <c r="H18" s="3" t="n">
        <v>0</v>
      </c>
      <c r="I18" s="2" t="inlineStr">
        <is>
          <t>ouvrir</t>
        </is>
      </c>
    </row>
    <row r="19">
      <c r="A19" s="2" t="inlineStr">
        <is>
          <t>2026-10-19 12:06</t>
        </is>
      </c>
      <c r="B19" s="3" t="n">
        <v>0</v>
      </c>
      <c r="C19" s="3" t="n">
        <v>0</v>
      </c>
      <c r="D19" s="3" t="n">
        <v>0</v>
      </c>
      <c r="E19" s="3" t="n">
        <v>0</v>
      </c>
      <c r="F19" s="3" t="n">
        <v>0</v>
      </c>
      <c r="G19" s="3" t="n">
        <v>0</v>
      </c>
      <c r="H19" s="3" t="n">
        <v>0</v>
      </c>
      <c r="I19" s="2" t="inlineStr">
        <is>
          <t>ouvrir</t>
        </is>
      </c>
    </row>
    <row r="20">
      <c r="A20" s="2" t="inlineStr">
        <is>
          <t>2026-10-19 12:06</t>
        </is>
      </c>
      <c r="B20" s="3" t="n">
        <v>0</v>
      </c>
      <c r="C20" s="3" t="n">
        <v>0</v>
      </c>
      <c r="D20" s="3" t="n">
        <v>0</v>
      </c>
      <c r="E20" s="3" t="n">
        <v>0</v>
      </c>
      <c r="F20" s="3" t="n">
        <v>0</v>
      </c>
      <c r="G20" s="3" t="n">
        <v>0</v>
      </c>
      <c r="H20" s="3" t="n">
        <v>0</v>
      </c>
      <c r="I20" s="2" t="inlineStr">
        <is>
          <t>ouvrir</t>
        </is>
      </c>
    </row>
    <row r="21">
      <c r="A21" s="2" t="inlineStr">
        <is>
          <t>2026-10-19 18:00</t>
        </is>
      </c>
      <c r="B21" s="3" t="n">
        <v>3</v>
      </c>
      <c r="C21" s="3" t="n">
        <v>0</v>
      </c>
      <c r="D21" s="3" t="n">
        <v>0</v>
      </c>
      <c r="E21" s="3" t="n">
        <v>0</v>
      </c>
      <c r="F21" s="3" t="n">
        <v>0</v>
      </c>
      <c r="G21" s="3" t="n">
        <v>0</v>
      </c>
      <c r="H21" s="3" t="n">
        <v>0</v>
      </c>
      <c r="I21" s="2" t="inlineStr">
        <is>
          <t>ouvrir</t>
        </is>
      </c>
    </row>
    <row r="22">
      <c r="A22" s="2" t="inlineStr">
        <is>
          <t>2026-10-20 08:15</t>
        </is>
      </c>
      <c r="B22" s="3" t="n">
        <v>1</v>
      </c>
      <c r="C22" s="3" t="n">
        <v>0</v>
      </c>
      <c r="D22" s="3" t="n">
        <v>0</v>
      </c>
      <c r="E22" s="3" t="n">
        <v>0</v>
      </c>
      <c r="F22" s="3" t="n">
        <v>0</v>
      </c>
      <c r="G22" s="3" t="n">
        <v>0</v>
      </c>
      <c r="H22" s="3" t="n">
        <v>0</v>
      </c>
      <c r="I22" s="2" t="inlineStr">
        <is>
          <t>ouvrir</t>
        </is>
      </c>
    </row>
    <row r="23">
      <c r="A23" s="2" t="inlineStr">
        <is>
          <t>2026-10-20 10:34</t>
        </is>
      </c>
      <c r="B23" s="3" t="n">
        <v>2</v>
      </c>
      <c r="C23" s="3" t="n">
        <v>0</v>
      </c>
      <c r="D23" s="3" t="n">
        <v>0</v>
      </c>
      <c r="E23" s="3" t="n">
        <v>0</v>
      </c>
      <c r="F23" s="3" t="n">
        <v>0</v>
      </c>
      <c r="G23" s="3" t="n">
        <v>1</v>
      </c>
      <c r="H23" s="3" t="n">
        <v>0</v>
      </c>
      <c r="I23" s="2" t="inlineStr">
        <is>
          <t>ouvrir</t>
        </is>
      </c>
    </row>
    <row r="24">
      <c r="A24" s="2" t="inlineStr">
        <is>
          <t>2026-10-20 10:34</t>
        </is>
      </c>
      <c r="B24" s="3" t="n">
        <v>0</v>
      </c>
      <c r="C24" s="3" t="n">
        <v>0</v>
      </c>
      <c r="D24" s="3" t="n">
        <v>0</v>
      </c>
      <c r="E24" s="3" t="n">
        <v>0</v>
      </c>
      <c r="F24" s="3" t="n">
        <v>0</v>
      </c>
      <c r="G24" s="3" t="n">
        <v>0</v>
      </c>
      <c r="H24" s="3" t="n">
        <v>0</v>
      </c>
      <c r="I24" s="2" t="inlineStr">
        <is>
          <t>ouvrir</t>
        </is>
      </c>
    </row>
    <row r="25">
      <c r="A25" s="2" t="inlineStr">
        <is>
          <t>2026-10-20 13:38</t>
        </is>
      </c>
      <c r="B25" s="3" t="n">
        <v>0</v>
      </c>
      <c r="C25" s="3" t="n">
        <v>0</v>
      </c>
      <c r="D25" s="3" t="n">
        <v>0</v>
      </c>
      <c r="E25" s="3" t="n">
        <v>0</v>
      </c>
      <c r="F25" s="3" t="n">
        <v>0</v>
      </c>
      <c r="G25" s="3" t="n">
        <v>0</v>
      </c>
      <c r="H25" s="3" t="n">
        <v>0</v>
      </c>
      <c r="I25" s="2" t="inlineStr">
        <is>
          <t>ouvrir</t>
        </is>
      </c>
    </row>
    <row r="26">
      <c r="A26" s="2" t="inlineStr">
        <is>
          <t>2026-10-20 16:07</t>
        </is>
      </c>
      <c r="B26" s="3" t="n">
        <v>1</v>
      </c>
      <c r="C26" s="3" t="n">
        <v>0</v>
      </c>
      <c r="D26" s="3" t="n">
        <v>0</v>
      </c>
      <c r="E26" s="3" t="n">
        <v>0</v>
      </c>
      <c r="F26" s="3" t="n">
        <v>0</v>
      </c>
      <c r="G26" s="3" t="n">
        <v>0</v>
      </c>
      <c r="H26" s="3" t="n">
        <v>0</v>
      </c>
      <c r="I26" s="2" t="inlineStr">
        <is>
          <t>ouvrir</t>
        </is>
      </c>
    </row>
    <row r="27">
      <c r="A27" s="2" t="inlineStr">
        <is>
          <t>2026-10-21 07:20</t>
        </is>
      </c>
      <c r="B27" s="3" t="n">
        <v>1</v>
      </c>
      <c r="C27" s="3" t="n">
        <v>0</v>
      </c>
      <c r="D27" s="3" t="n">
        <v>0</v>
      </c>
      <c r="E27" s="3" t="n">
        <v>0</v>
      </c>
      <c r="F27" s="3" t="n">
        <v>0</v>
      </c>
      <c r="G27" s="3" t="n">
        <v>0</v>
      </c>
      <c r="H27" s="3" t="n">
        <v>0</v>
      </c>
      <c r="I27" s="2" t="inlineStr">
        <is>
          <t>ouvrir</t>
        </is>
      </c>
    </row>
    <row r="28">
      <c r="A28" s="2" t="inlineStr">
        <is>
          <t>2026-10-21 08:03</t>
        </is>
      </c>
      <c r="B28" s="3" t="n">
        <v>3</v>
      </c>
      <c r="C28" s="3" t="n">
        <v>0</v>
      </c>
      <c r="D28" s="3" t="n">
        <v>0</v>
      </c>
      <c r="E28" s="3" t="n">
        <v>0</v>
      </c>
      <c r="F28" s="3" t="n">
        <v>0</v>
      </c>
      <c r="G28" s="3" t="n">
        <v>0</v>
      </c>
      <c r="H28" s="3" t="n">
        <v>0</v>
      </c>
      <c r="I28" s="2" t="inlineStr">
        <is>
          <t>ouvrir</t>
        </is>
      </c>
    </row>
    <row r="29">
      <c r="A29" s="2" t="inlineStr">
        <is>
          <t>2026-10-21 10:05</t>
        </is>
      </c>
      <c r="B29" s="3" t="n">
        <v>2</v>
      </c>
      <c r="C29" s="3" t="n">
        <v>0</v>
      </c>
      <c r="D29" s="3" t="n">
        <v>0</v>
      </c>
      <c r="E29" s="3" t="n">
        <v>0</v>
      </c>
      <c r="F29" s="3" t="n">
        <v>0</v>
      </c>
      <c r="G29" s="3" t="n">
        <v>0</v>
      </c>
      <c r="H29" s="3" t="n">
        <v>0</v>
      </c>
      <c r="I29" s="2" t="inlineStr">
        <is>
          <t>ouvrir</t>
        </is>
      </c>
    </row>
    <row r="30">
      <c r="A30" s="2" t="inlineStr">
        <is>
          <t>2026-10-21 12:08</t>
        </is>
      </c>
      <c r="B30" s="3" t="n">
        <v>1</v>
      </c>
      <c r="C30" s="3" t="n">
        <v>0</v>
      </c>
      <c r="D30" s="3" t="n">
        <v>0</v>
      </c>
      <c r="E30" s="3" t="n">
        <v>0</v>
      </c>
      <c r="F30" s="3" t="n">
        <v>0</v>
      </c>
      <c r="G30" s="3" t="n">
        <v>0</v>
      </c>
      <c r="H30" s="3" t="n">
        <v>0</v>
      </c>
      <c r="I30" s="2" t="inlineStr">
        <is>
          <t>ouvrir</t>
        </is>
      </c>
    </row>
    <row r="31">
      <c r="A31" s="2" t="inlineStr">
        <is>
          <t>2026-10-21 15:05</t>
        </is>
      </c>
      <c r="B31" s="3" t="n">
        <v>1</v>
      </c>
      <c r="C31" s="3" t="n">
        <v>0</v>
      </c>
      <c r="D31" s="3" t="n">
        <v>0</v>
      </c>
      <c r="E31" s="3" t="n">
        <v>0</v>
      </c>
      <c r="F31" s="3" t="n">
        <v>0</v>
      </c>
      <c r="G31" s="3" t="n">
        <v>0</v>
      </c>
      <c r="H31" s="3" t="n">
        <v>1</v>
      </c>
      <c r="I31" s="2" t="inlineStr">
        <is>
          <t>ouvrir</t>
        </is>
      </c>
    </row>
    <row r="32">
      <c r="A32" s="2" t="inlineStr">
        <is>
          <t>2026-10-21 16:09</t>
        </is>
      </c>
      <c r="B32" s="3" t="n">
        <v>1</v>
      </c>
      <c r="C32" s="3" t="n">
        <v>0</v>
      </c>
      <c r="D32" s="3" t="n">
        <v>0</v>
      </c>
      <c r="E32" s="3" t="n">
        <v>0</v>
      </c>
      <c r="F32" s="3" t="n">
        <v>0</v>
      </c>
      <c r="G32" s="3" t="n">
        <v>0</v>
      </c>
      <c r="H32" s="3" t="n">
        <v>1</v>
      </c>
      <c r="I32" s="2" t="inlineStr">
        <is>
          <t>ouvrir</t>
        </is>
      </c>
    </row>
    <row r="33">
      <c r="A33" s="2" t="inlineStr">
        <is>
          <t>2026-10-22 08:13</t>
        </is>
      </c>
      <c r="B33" s="3" t="n">
        <v>2</v>
      </c>
      <c r="C33" s="3" t="n">
        <v>0</v>
      </c>
      <c r="D33" s="3" t="n">
        <v>0</v>
      </c>
      <c r="E33" s="3" t="n">
        <v>0</v>
      </c>
      <c r="F33" s="3" t="n">
        <v>0</v>
      </c>
      <c r="G33" s="3" t="n">
        <v>0</v>
      </c>
      <c r="H33" s="3" t="n">
        <v>0</v>
      </c>
      <c r="I33" s="2" t="inlineStr">
        <is>
          <t>ouvrir</t>
        </is>
      </c>
    </row>
    <row r="34">
      <c r="A34" s="2" t="inlineStr">
        <is>
          <t>2026-10-22 12:09</t>
        </is>
      </c>
      <c r="B34" s="3" t="n">
        <v>1</v>
      </c>
      <c r="C34" s="3" t="n">
        <v>0</v>
      </c>
      <c r="D34" s="3" t="n">
        <v>0</v>
      </c>
      <c r="E34" s="3" t="n">
        <v>0</v>
      </c>
      <c r="F34" s="3" t="n">
        <v>0</v>
      </c>
      <c r="G34" s="3" t="n">
        <v>0</v>
      </c>
      <c r="H34" s="3" t="n">
        <v>0</v>
      </c>
      <c r="I34" s="2" t="inlineStr">
        <is>
          <t>ouvrir</t>
        </is>
      </c>
    </row>
    <row r="35">
      <c r="A35" s="2" t="inlineStr">
        <is>
          <t>2026-10-24 10:04</t>
        </is>
      </c>
      <c r="B35" s="3" t="n">
        <v>5</v>
      </c>
      <c r="C35" s="3" t="n">
        <v>0</v>
      </c>
      <c r="D35" s="3" t="n">
        <v>0</v>
      </c>
      <c r="E35" s="3" t="n">
        <v>0</v>
      </c>
      <c r="F35" s="3" t="n">
        <v>0</v>
      </c>
      <c r="G35" s="3" t="n">
        <v>0</v>
      </c>
      <c r="H35" s="3" t="n">
        <v>1</v>
      </c>
      <c r="I35" s="2" t="inlineStr">
        <is>
          <t>ouvrir</t>
        </is>
      </c>
    </row>
    <row r="36">
      <c r="A36" s="2" t="inlineStr">
        <is>
          <t>2026-10-24 12:31</t>
        </is>
      </c>
      <c r="B36" s="3" t="n">
        <v>2</v>
      </c>
      <c r="C36" s="3" t="n">
        <v>0</v>
      </c>
      <c r="D36" s="3" t="n">
        <v>0</v>
      </c>
      <c r="E36" s="3" t="n">
        <v>0</v>
      </c>
      <c r="F36" s="3" t="n">
        <v>0</v>
      </c>
      <c r="G36" s="3" t="n">
        <v>0</v>
      </c>
      <c r="H36" s="3" t="n">
        <v>1</v>
      </c>
      <c r="I36" s="2" t="inlineStr">
        <is>
          <t>ouvrir</t>
        </is>
      </c>
    </row>
    <row r="37">
      <c r="A37" s="2" t="inlineStr">
        <is>
          <t>2026-10-24 13:57</t>
        </is>
      </c>
      <c r="B37" s="3" t="n">
        <v>1</v>
      </c>
      <c r="C37" s="3" t="n">
        <v>0</v>
      </c>
      <c r="D37" s="3" t="n">
        <v>0</v>
      </c>
      <c r="E37" s="3" t="n">
        <v>0</v>
      </c>
      <c r="F37" s="3" t="n">
        <v>0</v>
      </c>
      <c r="G37" s="3" t="n">
        <v>0</v>
      </c>
      <c r="H37" s="3" t="n">
        <v>1</v>
      </c>
      <c r="I37" s="2" t="inlineStr">
        <is>
          <t>ouvrir</t>
        </is>
      </c>
    </row>
    <row r="38">
      <c r="A38" s="2" t="inlineStr">
        <is>
          <t>2026-10-24 13:57</t>
        </is>
      </c>
      <c r="B38" s="3" t="n">
        <v>1</v>
      </c>
      <c r="C38" s="3" t="n">
        <v>0</v>
      </c>
      <c r="D38" s="3" t="n">
        <v>0</v>
      </c>
      <c r="E38" s="3" t="n">
        <v>0</v>
      </c>
      <c r="F38" s="3" t="n">
        <v>0</v>
      </c>
      <c r="G38" s="3" t="n">
        <v>0</v>
      </c>
      <c r="H38" s="3" t="n">
        <v>1</v>
      </c>
      <c r="I38" s="2" t="inlineStr">
        <is>
          <t>ouvrir</t>
        </is>
      </c>
    </row>
    <row r="39">
      <c r="A39" s="2" t="inlineStr">
        <is>
          <t>2026-10-24 13:58</t>
        </is>
      </c>
      <c r="B39" s="3" t="n">
        <v>1</v>
      </c>
      <c r="C39" s="3" t="n">
        <v>0</v>
      </c>
      <c r="D39" s="3" t="n">
        <v>0</v>
      </c>
      <c r="E39" s="3" t="n">
        <v>0</v>
      </c>
      <c r="F39" s="3" t="n">
        <v>0</v>
      </c>
      <c r="G39" s="3" t="n">
        <v>0</v>
      </c>
      <c r="H39" s="3" t="n">
        <v>1</v>
      </c>
      <c r="I39" s="2" t="inlineStr">
        <is>
          <t>ouvrir</t>
        </is>
      </c>
    </row>
    <row r="40">
      <c r="A40" s="2" t="inlineStr">
        <is>
          <t>2026-10-24 16:57</t>
        </is>
      </c>
      <c r="B40" s="3" t="n">
        <v>1</v>
      </c>
      <c r="C40" s="3" t="n">
        <v>0</v>
      </c>
      <c r="D40" s="3" t="n">
        <v>0</v>
      </c>
      <c r="E40" s="3" t="n">
        <v>0</v>
      </c>
      <c r="F40" s="3" t="n">
        <v>0</v>
      </c>
      <c r="G40" s="3" t="n">
        <v>0</v>
      </c>
      <c r="H40" s="3" t="n">
        <v>0</v>
      </c>
      <c r="I40" s="2" t="inlineStr">
        <is>
          <t>ouvrir</t>
        </is>
      </c>
    </row>
    <row r="41">
      <c r="A41" s="2" t="inlineStr">
        <is>
          <t>2026-10-24 18:15</t>
        </is>
      </c>
      <c r="B41" s="3" t="n">
        <v>1</v>
      </c>
      <c r="C41" s="3" t="n">
        <v>0</v>
      </c>
      <c r="D41" s="3" t="n">
        <v>0</v>
      </c>
      <c r="E41" s="3" t="n">
        <v>0</v>
      </c>
      <c r="F41" s="3" t="n">
        <v>0</v>
      </c>
      <c r="G41" s="3" t="n">
        <v>0</v>
      </c>
      <c r="H41" s="3" t="n">
        <v>0</v>
      </c>
      <c r="I41" s="2" t="inlineStr">
        <is>
          <t>ouvrir</t>
        </is>
      </c>
    </row>
    <row r="42">
      <c r="A42" s="2" t="inlineStr">
        <is>
          <t>2026-10-25 13:08</t>
        </is>
      </c>
      <c r="B42" s="3" t="n">
        <v>1</v>
      </c>
      <c r="C42" s="3" t="n">
        <v>0</v>
      </c>
      <c r="D42" s="3" t="n">
        <v>0</v>
      </c>
      <c r="E42" s="3" t="n">
        <v>0</v>
      </c>
      <c r="F42" s="3" t="n">
        <v>0</v>
      </c>
      <c r="G42" s="3" t="n">
        <v>0</v>
      </c>
      <c r="H42" s="3" t="n">
        <v>0</v>
      </c>
      <c r="I42" s="2" t="inlineStr">
        <is>
          <t>ouvrir</t>
        </is>
      </c>
    </row>
    <row r="43">
      <c r="A43" s="2" t="inlineStr">
        <is>
          <t>2026-10-25 13:58</t>
        </is>
      </c>
      <c r="B43" s="3" t="n">
        <v>1</v>
      </c>
      <c r="C43" s="3" t="n">
        <v>0</v>
      </c>
      <c r="D43" s="3" t="n">
        <v>0</v>
      </c>
      <c r="E43" s="3" t="n">
        <v>0</v>
      </c>
      <c r="F43" s="3" t="n">
        <v>0</v>
      </c>
      <c r="G43" s="3" t="n">
        <v>0</v>
      </c>
      <c r="H43" s="3" t="n">
        <v>0</v>
      </c>
      <c r="I43" s="2" t="inlineStr">
        <is>
          <t>ouvrir</t>
        </is>
      </c>
    </row>
    <row r="44">
      <c r="A44" s="2" t="inlineStr">
        <is>
          <t>2026-10-25 14:00</t>
        </is>
      </c>
      <c r="B44" s="3" t="n">
        <v>1</v>
      </c>
      <c r="C44" s="3" t="n">
        <v>0</v>
      </c>
      <c r="D44" s="3" t="n">
        <v>0</v>
      </c>
      <c r="E44" s="3" t="n">
        <v>0</v>
      </c>
      <c r="F44" s="3" t="n">
        <v>0</v>
      </c>
      <c r="G44" s="3" t="n">
        <v>0</v>
      </c>
      <c r="H44" s="3" t="n">
        <v>0</v>
      </c>
      <c r="I44" s="2" t="inlineStr">
        <is>
          <t>ouvrir</t>
        </is>
      </c>
    </row>
    <row r="45">
      <c r="A45" s="2" t="inlineStr">
        <is>
          <t>2026-10-25 14:25</t>
        </is>
      </c>
      <c r="B45" s="3" t="n">
        <v>1</v>
      </c>
      <c r="C45" s="3" t="n">
        <v>0</v>
      </c>
      <c r="D45" s="3" t="n">
        <v>0</v>
      </c>
      <c r="E45" s="3" t="n">
        <v>0</v>
      </c>
      <c r="F45" s="3" t="n">
        <v>0</v>
      </c>
      <c r="G45" s="3" t="n">
        <v>0</v>
      </c>
      <c r="H45" s="3" t="n">
        <v>0</v>
      </c>
      <c r="I45" s="2" t="inlineStr">
        <is>
          <t>ouvrir</t>
        </is>
      </c>
    </row>
    <row r="46">
      <c r="A46" s="2" t="inlineStr">
        <is>
          <t>2026-10-25 17:26</t>
        </is>
      </c>
      <c r="B46" s="3" t="n">
        <v>1</v>
      </c>
      <c r="C46" s="3" t="n">
        <v>0</v>
      </c>
      <c r="D46" s="3" t="n">
        <v>0</v>
      </c>
      <c r="E46" s="3" t="n">
        <v>0</v>
      </c>
      <c r="F46" s="3" t="n">
        <v>0</v>
      </c>
      <c r="G46" s="3" t="n">
        <v>0</v>
      </c>
      <c r="H46" s="3" t="n">
        <v>1</v>
      </c>
      <c r="I46" s="2" t="inlineStr">
        <is>
          <t>ouvrir</t>
        </is>
      </c>
    </row>
    <row r="47">
      <c r="A47" s="2" t="inlineStr">
        <is>
          <t>2026-10-27 07:09</t>
        </is>
      </c>
      <c r="B47" s="3" t="n">
        <v>0</v>
      </c>
      <c r="C47" s="3" t="n">
        <v>0</v>
      </c>
      <c r="D47" s="3" t="n">
        <v>0</v>
      </c>
      <c r="E47" s="3" t="n">
        <v>0</v>
      </c>
      <c r="F47" s="3" t="n">
        <v>0</v>
      </c>
      <c r="G47" s="3" t="n">
        <v>0</v>
      </c>
      <c r="H47" s="3" t="n">
        <v>0</v>
      </c>
      <c r="I47" s="2" t="inlineStr">
        <is>
          <t>ouvrir</t>
        </is>
      </c>
    </row>
    <row r="48">
      <c r="A48" s="2" t="inlineStr">
        <is>
          <t>2026-10-27 11:11</t>
        </is>
      </c>
      <c r="B48" s="3" t="n">
        <v>1</v>
      </c>
      <c r="C48" s="3" t="n">
        <v>0</v>
      </c>
      <c r="D48" s="3" t="n">
        <v>0</v>
      </c>
      <c r="E48" s="3" t="n">
        <v>0</v>
      </c>
      <c r="F48" s="3" t="n">
        <v>0</v>
      </c>
      <c r="G48" s="3" t="n">
        <v>0</v>
      </c>
      <c r="H48" s="3" t="n">
        <v>0</v>
      </c>
      <c r="I48" s="2" t="inlineStr">
        <is>
          <t>ouvrir</t>
        </is>
      </c>
    </row>
    <row r="49">
      <c r="A49" s="2" t="inlineStr">
        <is>
          <t>2026-10-29 05:38</t>
        </is>
      </c>
      <c r="B49" s="3" t="n">
        <v>1</v>
      </c>
      <c r="C49" s="3" t="n">
        <v>0</v>
      </c>
      <c r="D49" s="3" t="n">
        <v>0</v>
      </c>
      <c r="E49" s="3" t="n">
        <v>0</v>
      </c>
      <c r="F49" s="3" t="n">
        <v>0</v>
      </c>
      <c r="G49" s="3" t="n">
        <v>0</v>
      </c>
      <c r="H49" s="3" t="n">
        <v>0</v>
      </c>
      <c r="I49" s="2" t="inlineStr">
        <is>
          <t>ouvrir</t>
        </is>
      </c>
    </row>
    <row r="50">
      <c r="A50" s="2" t="inlineStr">
        <is>
          <t>2026-10-29 07:55</t>
        </is>
      </c>
      <c r="B50" s="3" t="n">
        <v>0</v>
      </c>
      <c r="C50" s="3" t="n">
        <v>0</v>
      </c>
      <c r="D50" s="3" t="n">
        <v>0</v>
      </c>
      <c r="E50" s="3" t="n">
        <v>0</v>
      </c>
      <c r="F50" s="3" t="n">
        <v>0</v>
      </c>
      <c r="G50" s="3" t="n">
        <v>0</v>
      </c>
      <c r="H50" s="3" t="n">
        <v>0</v>
      </c>
      <c r="I50" s="2" t="inlineStr">
        <is>
          <t>ouvrir</t>
        </is>
      </c>
    </row>
  </sheetData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</hyperlinks>
  <pageMargins left="0.75" right="0.75" top="1" bottom="1" header="0.5" footer="0.5"/>
  <drawing xmlns:r="http://schemas.openxmlformats.org/officeDocument/2006/relationships" r:id="rId5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Décodé · suivi du compte Décodé · Actu</t>
        </is>
      </c>
    </row>
    <row r="2">
      <c r="A2" s="8" t="inlineStr">
        <is>
          <t>Mis à jour automatiquement par l'agent 3 à chaque relevé (9 h et 16 h, heure de Paris).</t>
        </is>
      </c>
    </row>
    <row r="3">
      <c r="A3" s="8" t="inlineStr">
        <is>
          <t>Source : API Instagram (insights). Les vues et partages sont cumulés depuis la publication.</t>
        </is>
      </c>
    </row>
    <row r="4">
      <c r="A4" s="8" t="inlineStr">
        <is>
          <t>« Abonnés gagnés » et « Vues du jour » = différence avec le relevé de la veille (formules).</t>
        </is>
      </c>
    </row>
    <row r="5">
      <c r="A5" s="8" t="inlineStr">
        <is>
          <t>« Vues du jour par vidéo » = vues gagnées par chaque vidéo depuis le relevé de la veille.</t>
        </is>
      </c>
    </row>
    <row r="6">
      <c r="A6" s="8" t="inlineStr">
        <is>
          <t>« Heure par heure » : relevé toutes les heures de 7 h à 23 h (Paris) ; le relevé de 7 h inclut la nuit.</t>
        </is>
      </c>
    </row>
    <row r="7">
      <c r="A7" s="8" t="inlineStr">
        <is>
          <t>Taux d'engagement = (likes + commentaires + partages + enregistrements) / comptes touchés.</t>
        </is>
      </c>
    </row>
    <row r="8">
      <c r="A8" s="8" t="inlineStr">
        <is>
          <t>Les statistiques d'une story ne sont lisibles que pendant ses 24 h : dernier relevé conservé.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2026-10-30T20:30:28Z</dcterms:created>
  <dcterms:modified xsi:type="dcterms:W3CDTF">2026-10-30T20:30:28Z</dcterms:modified>
</cp:coreProperties>
</file>